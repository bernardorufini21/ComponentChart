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C50430\Documents\Projetos\Other Analysis\Automação Component chart\"/>
    </mc:Choice>
  </mc:AlternateContent>
  <xr:revisionPtr revIDLastSave="0" documentId="13_ncr:1_{E6D6597C-7CC9-436F-9908-94237C96225F}" xr6:coauthVersionLast="47" xr6:coauthVersionMax="47" xr10:uidLastSave="{00000000-0000-0000-0000-000000000000}"/>
  <bookViews>
    <workbookView xWindow="-98" yWindow="-98" windowWidth="28996" windowHeight="15675" tabRatio="854" activeTab="5" xr2:uid="{9AE6504A-B22E-46E0-A4AA-0E5F24051EFF}"/>
  </bookViews>
  <sheets>
    <sheet name="IMPORT" sheetId="3" r:id="rId1"/>
    <sheet name="Listas" sheetId="1" r:id="rId2"/>
    <sheet name="Model Summary" sheetId="9" r:id="rId3"/>
    <sheet name="Hardpoint" sheetId="11" r:id="rId4"/>
    <sheet name="Mass Properties" sheetId="13" r:id="rId5"/>
    <sheet name="Property Files" sheetId="18" r:id="rId6"/>
    <sheet name="Splines Comparison" sheetId="14" r:id="rId7"/>
    <sheet name="CDB" sheetId="15" r:id="rId8"/>
  </sheets>
  <functionGroups builtInGroupCount="19"/>
  <definedNames>
    <definedName name="_xleta.MATCH" hidden="1" xlm="1">#NAME?</definedName>
    <definedName name="_xlpm.barra" hidden="1" xlm="1">#NAME?</definedName>
    <definedName name="_xlpm.ini" hidden="1" xlm="1">#NAME?</definedName>
    <definedName name="_xlpm.posProto" hidden="1" xlm="1">#NAME?</definedName>
    <definedName name="_xlpm.txt" hidden="1" xlm="1">#NAME?</definedName>
  </definedNames>
  <calcPr calcId="191028" concurrentManualCount="2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9" l="1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B2" i="9"/>
  <c r="BF3" i="14" l="1"/>
  <c r="BG3" i="14" s="1" a="1"/>
  <c r="BG3" i="14" s="1"/>
  <c r="BB3" i="14"/>
  <c r="H132" i="18" l="1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O118" i="18" s="1"/>
  <c r="H117" i="18"/>
  <c r="H116" i="18"/>
  <c r="H115" i="18"/>
  <c r="O115" i="18" s="1"/>
  <c r="M61" i="13"/>
  <c r="M62" i="13"/>
  <c r="M132" i="18"/>
  <c r="L132" i="18"/>
  <c r="K132" i="18"/>
  <c r="G132" i="18"/>
  <c r="M131" i="18"/>
  <c r="L131" i="18"/>
  <c r="K131" i="18"/>
  <c r="G131" i="18"/>
  <c r="M130" i="18"/>
  <c r="L130" i="18"/>
  <c r="K130" i="18"/>
  <c r="G130" i="18"/>
  <c r="M129" i="18"/>
  <c r="L129" i="18"/>
  <c r="K129" i="18"/>
  <c r="G129" i="18"/>
  <c r="M128" i="18"/>
  <c r="L128" i="18"/>
  <c r="K128" i="18"/>
  <c r="G128" i="18"/>
  <c r="M127" i="18"/>
  <c r="L127" i="18"/>
  <c r="K127" i="18"/>
  <c r="G127" i="18"/>
  <c r="M126" i="18"/>
  <c r="L126" i="18"/>
  <c r="K126" i="18"/>
  <c r="G126" i="18"/>
  <c r="M125" i="18"/>
  <c r="L125" i="18"/>
  <c r="K125" i="18"/>
  <c r="G125" i="18"/>
  <c r="M124" i="18"/>
  <c r="L124" i="18"/>
  <c r="K124" i="18"/>
  <c r="G124" i="18"/>
  <c r="M123" i="18"/>
  <c r="L123" i="18"/>
  <c r="K123" i="18"/>
  <c r="G123" i="18"/>
  <c r="M122" i="18"/>
  <c r="L122" i="18"/>
  <c r="K122" i="18"/>
  <c r="G122" i="18"/>
  <c r="M121" i="18"/>
  <c r="L121" i="18"/>
  <c r="K121" i="18"/>
  <c r="G121" i="18"/>
  <c r="M120" i="18"/>
  <c r="L120" i="18"/>
  <c r="K120" i="18"/>
  <c r="G120" i="18"/>
  <c r="M119" i="18"/>
  <c r="L119" i="18"/>
  <c r="K119" i="18"/>
  <c r="G119" i="18"/>
  <c r="M118" i="18"/>
  <c r="L118" i="18"/>
  <c r="K118" i="18"/>
  <c r="G118" i="18"/>
  <c r="N118" i="18" s="1"/>
  <c r="M117" i="18"/>
  <c r="L117" i="18"/>
  <c r="K117" i="18"/>
  <c r="G117" i="18"/>
  <c r="M116" i="18"/>
  <c r="L116" i="18"/>
  <c r="K116" i="18"/>
  <c r="G116" i="18"/>
  <c r="M115" i="18"/>
  <c r="L115" i="18"/>
  <c r="K115" i="18"/>
  <c r="G115" i="18"/>
  <c r="M114" i="18"/>
  <c r="L114" i="18"/>
  <c r="K114" i="18"/>
  <c r="H114" i="18"/>
  <c r="G114" i="18"/>
  <c r="P62" i="13"/>
  <c r="O62" i="13"/>
  <c r="N62" i="13"/>
  <c r="P61" i="13"/>
  <c r="O61" i="13"/>
  <c r="N61" i="13"/>
  <c r="O148" i="11"/>
  <c r="N148" i="11"/>
  <c r="M148" i="11"/>
  <c r="O147" i="11"/>
  <c r="N147" i="11"/>
  <c r="M147" i="11"/>
  <c r="O146" i="11"/>
  <c r="N146" i="11"/>
  <c r="M146" i="11"/>
  <c r="O145" i="11"/>
  <c r="N145" i="11"/>
  <c r="M145" i="11"/>
  <c r="O144" i="11"/>
  <c r="N144" i="11"/>
  <c r="M144" i="11"/>
  <c r="O143" i="11"/>
  <c r="N143" i="11"/>
  <c r="M143" i="11"/>
  <c r="O142" i="11"/>
  <c r="N142" i="11"/>
  <c r="M142" i="11"/>
  <c r="O141" i="11"/>
  <c r="N141" i="11"/>
  <c r="M141" i="11"/>
  <c r="O140" i="11"/>
  <c r="N140" i="11"/>
  <c r="M140" i="11"/>
  <c r="O139" i="11"/>
  <c r="N139" i="11"/>
  <c r="M139" i="11"/>
  <c r="O138" i="11"/>
  <c r="N138" i="11"/>
  <c r="M138" i="11"/>
  <c r="O137" i="11"/>
  <c r="N137" i="11"/>
  <c r="M137" i="11"/>
  <c r="O136" i="11"/>
  <c r="N136" i="11"/>
  <c r="M136" i="11"/>
  <c r="M2" i="13"/>
  <c r="M108" i="18"/>
  <c r="M109" i="18"/>
  <c r="M110" i="18"/>
  <c r="M111" i="18"/>
  <c r="L108" i="18"/>
  <c r="L109" i="18"/>
  <c r="L110" i="18"/>
  <c r="L111" i="18"/>
  <c r="K108" i="18"/>
  <c r="K109" i="18"/>
  <c r="K110" i="18"/>
  <c r="K111" i="18"/>
  <c r="H108" i="18"/>
  <c r="H109" i="18"/>
  <c r="H110" i="18"/>
  <c r="H111" i="18"/>
  <c r="G108" i="18"/>
  <c r="G109" i="18"/>
  <c r="G110" i="18"/>
  <c r="G111" i="18"/>
  <c r="M102" i="18"/>
  <c r="M103" i="18"/>
  <c r="M104" i="18"/>
  <c r="M105" i="18"/>
  <c r="L102" i="18"/>
  <c r="L103" i="18"/>
  <c r="L104" i="18"/>
  <c r="L105" i="18"/>
  <c r="K102" i="18"/>
  <c r="K103" i="18"/>
  <c r="K104" i="18"/>
  <c r="K105" i="18"/>
  <c r="H102" i="18"/>
  <c r="H103" i="18"/>
  <c r="H104" i="18"/>
  <c r="H105" i="18"/>
  <c r="G102" i="18"/>
  <c r="G103" i="18"/>
  <c r="G104" i="18"/>
  <c r="G105" i="18"/>
  <c r="L90" i="18"/>
  <c r="L91" i="18"/>
  <c r="L92" i="18"/>
  <c r="L93" i="18"/>
  <c r="L94" i="18"/>
  <c r="L95" i="18"/>
  <c r="L96" i="18"/>
  <c r="L97" i="18"/>
  <c r="L98" i="18"/>
  <c r="L99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46" i="18"/>
  <c r="L47" i="18"/>
  <c r="L48" i="18"/>
  <c r="L49" i="18"/>
  <c r="L50" i="18"/>
  <c r="L51" i="18"/>
  <c r="L52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2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H90" i="18"/>
  <c r="H91" i="18"/>
  <c r="H92" i="18"/>
  <c r="H93" i="18"/>
  <c r="H94" i="18"/>
  <c r="H95" i="18"/>
  <c r="H96" i="18"/>
  <c r="H97" i="18"/>
  <c r="H98" i="18"/>
  <c r="H99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46" i="18"/>
  <c r="H47" i="18"/>
  <c r="H48" i="18"/>
  <c r="H49" i="18"/>
  <c r="H50" i="18"/>
  <c r="H51" i="18"/>
  <c r="H52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M90" i="18"/>
  <c r="M91" i="18"/>
  <c r="M92" i="18"/>
  <c r="M93" i="18"/>
  <c r="M94" i="18"/>
  <c r="M95" i="18"/>
  <c r="M96" i="18"/>
  <c r="M97" i="18"/>
  <c r="M98" i="18"/>
  <c r="M99" i="18"/>
  <c r="K90" i="18"/>
  <c r="K91" i="18"/>
  <c r="K92" i="18"/>
  <c r="K93" i="18"/>
  <c r="K94" i="18"/>
  <c r="K95" i="18"/>
  <c r="K96" i="18"/>
  <c r="K97" i="18"/>
  <c r="K98" i="18"/>
  <c r="K99" i="18"/>
  <c r="G90" i="18"/>
  <c r="G91" i="18"/>
  <c r="G92" i="18"/>
  <c r="G93" i="18"/>
  <c r="G94" i="18"/>
  <c r="G95" i="18"/>
  <c r="G96" i="18"/>
  <c r="G97" i="18"/>
  <c r="G98" i="18"/>
  <c r="G99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M46" i="18"/>
  <c r="M47" i="18"/>
  <c r="M48" i="18"/>
  <c r="M49" i="18"/>
  <c r="M50" i="18"/>
  <c r="M51" i="18"/>
  <c r="M52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K46" i="18"/>
  <c r="K47" i="18"/>
  <c r="K48" i="18"/>
  <c r="K49" i="18"/>
  <c r="K50" i="18"/>
  <c r="K51" i="18"/>
  <c r="K52" i="18"/>
  <c r="G46" i="18"/>
  <c r="G47" i="18"/>
  <c r="G48" i="18"/>
  <c r="G49" i="18"/>
  <c r="G50" i="18"/>
  <c r="G51" i="18"/>
  <c r="G52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K2" i="18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M54" i="13"/>
  <c r="M55" i="13"/>
  <c r="M56" i="13"/>
  <c r="M57" i="13"/>
  <c r="M58" i="13"/>
  <c r="N54" i="13"/>
  <c r="N55" i="13"/>
  <c r="N56" i="13"/>
  <c r="N57" i="13"/>
  <c r="N58" i="13"/>
  <c r="O54" i="13"/>
  <c r="O55" i="13"/>
  <c r="O56" i="13"/>
  <c r="O57" i="13"/>
  <c r="O58" i="13"/>
  <c r="P54" i="13"/>
  <c r="P55" i="13"/>
  <c r="P56" i="13"/>
  <c r="P57" i="13"/>
  <c r="P58" i="13"/>
  <c r="M38" i="13"/>
  <c r="N38" i="13"/>
  <c r="O38" i="13"/>
  <c r="P38" i="13"/>
  <c r="M35" i="13"/>
  <c r="M36" i="13"/>
  <c r="M37" i="13"/>
  <c r="N35" i="13"/>
  <c r="N36" i="13"/>
  <c r="N37" i="13"/>
  <c r="O35" i="13"/>
  <c r="O36" i="13"/>
  <c r="O37" i="13"/>
  <c r="P35" i="13"/>
  <c r="P36" i="13"/>
  <c r="P37" i="13"/>
  <c r="M22" i="13"/>
  <c r="M23" i="13"/>
  <c r="M24" i="13"/>
  <c r="M25" i="13"/>
  <c r="M26" i="13"/>
  <c r="M27" i="13"/>
  <c r="N22" i="13"/>
  <c r="N23" i="13"/>
  <c r="N24" i="13"/>
  <c r="N25" i="13"/>
  <c r="N26" i="13"/>
  <c r="N27" i="13"/>
  <c r="O22" i="13"/>
  <c r="O23" i="13"/>
  <c r="O24" i="13"/>
  <c r="O25" i="13"/>
  <c r="O26" i="13"/>
  <c r="O27" i="13"/>
  <c r="P22" i="13"/>
  <c r="P23" i="13"/>
  <c r="P24" i="13"/>
  <c r="P25" i="13"/>
  <c r="P26" i="13"/>
  <c r="P27" i="13"/>
  <c r="M4" i="13"/>
  <c r="M5" i="13"/>
  <c r="M6" i="13"/>
  <c r="N4" i="13"/>
  <c r="N5" i="13"/>
  <c r="N6" i="13"/>
  <c r="O4" i="13"/>
  <c r="O5" i="13"/>
  <c r="O6" i="13"/>
  <c r="P4" i="13"/>
  <c r="P5" i="13"/>
  <c r="P6" i="13"/>
  <c r="M104" i="11"/>
  <c r="N104" i="11"/>
  <c r="O104" i="11"/>
  <c r="M126" i="11"/>
  <c r="M127" i="11"/>
  <c r="M128" i="11"/>
  <c r="M129" i="11"/>
  <c r="M130" i="11"/>
  <c r="M131" i="11"/>
  <c r="M132" i="11"/>
  <c r="M133" i="11"/>
  <c r="N126" i="11"/>
  <c r="N127" i="11"/>
  <c r="N128" i="11"/>
  <c r="N129" i="11"/>
  <c r="N130" i="11"/>
  <c r="N131" i="11"/>
  <c r="N132" i="11"/>
  <c r="N133" i="11"/>
  <c r="O126" i="11"/>
  <c r="O127" i="11"/>
  <c r="O128" i="11"/>
  <c r="O129" i="11"/>
  <c r="O130" i="11"/>
  <c r="O131" i="11"/>
  <c r="O132" i="11"/>
  <c r="O13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83" i="11"/>
  <c r="N83" i="11"/>
  <c r="M83" i="11"/>
  <c r="O82" i="11"/>
  <c r="N82" i="11"/>
  <c r="M82" i="11"/>
  <c r="O81" i="11"/>
  <c r="N81" i="11"/>
  <c r="M81" i="11"/>
  <c r="O80" i="11"/>
  <c r="N80" i="11"/>
  <c r="M80" i="11"/>
  <c r="O79" i="11"/>
  <c r="N79" i="11"/>
  <c r="M79" i="11"/>
  <c r="O78" i="11"/>
  <c r="N78" i="11"/>
  <c r="M78" i="11"/>
  <c r="O77" i="11"/>
  <c r="N77" i="11"/>
  <c r="M77" i="11"/>
  <c r="O76" i="11"/>
  <c r="N76" i="11"/>
  <c r="M76" i="11"/>
  <c r="O75" i="11"/>
  <c r="N75" i="11"/>
  <c r="M75" i="11"/>
  <c r="O74" i="11"/>
  <c r="N74" i="11"/>
  <c r="M74" i="11"/>
  <c r="O73" i="11"/>
  <c r="N73" i="11"/>
  <c r="M73" i="11"/>
  <c r="O72" i="11"/>
  <c r="N72" i="11"/>
  <c r="M72" i="11"/>
  <c r="O71" i="11"/>
  <c r="N71" i="11"/>
  <c r="M71" i="11"/>
  <c r="O70" i="11"/>
  <c r="N70" i="11"/>
  <c r="M70" i="11"/>
  <c r="O69" i="11"/>
  <c r="N69" i="11"/>
  <c r="M69" i="11"/>
  <c r="M47" i="11"/>
  <c r="N47" i="11"/>
  <c r="O47" i="11"/>
  <c r="M36" i="11"/>
  <c r="N36" i="11"/>
  <c r="O36" i="11"/>
  <c r="M31" i="11"/>
  <c r="M32" i="11"/>
  <c r="M33" i="11"/>
  <c r="M34" i="11"/>
  <c r="N31" i="11"/>
  <c r="N32" i="11"/>
  <c r="N33" i="11"/>
  <c r="N34" i="11"/>
  <c r="O31" i="11"/>
  <c r="O32" i="11"/>
  <c r="O33" i="11"/>
  <c r="O34" i="11"/>
  <c r="M16" i="11"/>
  <c r="M17" i="11"/>
  <c r="M18" i="11"/>
  <c r="M19" i="11"/>
  <c r="N16" i="11"/>
  <c r="N17" i="11"/>
  <c r="N18" i="11"/>
  <c r="N19" i="11"/>
  <c r="O16" i="11"/>
  <c r="O17" i="11"/>
  <c r="O18" i="11"/>
  <c r="O19" i="11"/>
  <c r="N44" i="13"/>
  <c r="O44" i="13"/>
  <c r="P44" i="13"/>
  <c r="M44" i="13"/>
  <c r="M9" i="13"/>
  <c r="M2" i="11"/>
  <c r="BC3" i="14" a="1"/>
  <c r="BC3" i="14" s="1"/>
  <c r="N51" i="13"/>
  <c r="O51" i="13"/>
  <c r="P51" i="13"/>
  <c r="N52" i="13"/>
  <c r="O52" i="13"/>
  <c r="P52" i="13"/>
  <c r="N53" i="13"/>
  <c r="O53" i="13"/>
  <c r="P53" i="13"/>
  <c r="N47" i="13"/>
  <c r="O47" i="13"/>
  <c r="P47" i="13"/>
  <c r="N48" i="13"/>
  <c r="O48" i="13"/>
  <c r="P48" i="13"/>
  <c r="N41" i="13"/>
  <c r="O41" i="13"/>
  <c r="P41" i="13"/>
  <c r="N30" i="13"/>
  <c r="O30" i="13"/>
  <c r="P30" i="13"/>
  <c r="N31" i="13"/>
  <c r="O31" i="13"/>
  <c r="P31" i="13"/>
  <c r="N32" i="13"/>
  <c r="O32" i="13"/>
  <c r="P32" i="13"/>
  <c r="N33" i="13"/>
  <c r="O33" i="13"/>
  <c r="P33" i="13"/>
  <c r="N34" i="13"/>
  <c r="O34" i="13"/>
  <c r="P34" i="13"/>
  <c r="N17" i="13"/>
  <c r="O17" i="13"/>
  <c r="P17" i="13"/>
  <c r="N18" i="13"/>
  <c r="O18" i="13"/>
  <c r="P18" i="13"/>
  <c r="N19" i="13"/>
  <c r="O19" i="13"/>
  <c r="P19" i="13"/>
  <c r="N20" i="13"/>
  <c r="O20" i="13"/>
  <c r="P20" i="13"/>
  <c r="N21" i="13"/>
  <c r="O21" i="13"/>
  <c r="P21" i="13"/>
  <c r="M51" i="13"/>
  <c r="M52" i="13"/>
  <c r="M53" i="13"/>
  <c r="M47" i="13"/>
  <c r="M48" i="13"/>
  <c r="M41" i="13"/>
  <c r="M30" i="13"/>
  <c r="M31" i="13"/>
  <c r="M32" i="13"/>
  <c r="M33" i="13"/>
  <c r="M34" i="13"/>
  <c r="M17" i="13"/>
  <c r="M18" i="13"/>
  <c r="M19" i="13"/>
  <c r="M20" i="13"/>
  <c r="M21" i="13"/>
  <c r="M3" i="13"/>
  <c r="N3" i="13"/>
  <c r="O3" i="13"/>
  <c r="P3" i="13"/>
  <c r="M7" i="13"/>
  <c r="N7" i="13"/>
  <c r="O7" i="13"/>
  <c r="P7" i="13"/>
  <c r="M8" i="13"/>
  <c r="N8" i="13"/>
  <c r="O8" i="13"/>
  <c r="P8" i="13"/>
  <c r="N9" i="13"/>
  <c r="O9" i="13"/>
  <c r="P9" i="13"/>
  <c r="M10" i="13"/>
  <c r="N10" i="13"/>
  <c r="O10" i="13"/>
  <c r="P10" i="13"/>
  <c r="M11" i="13"/>
  <c r="N11" i="13"/>
  <c r="O11" i="13"/>
  <c r="P11" i="13"/>
  <c r="M12" i="13"/>
  <c r="N12" i="13"/>
  <c r="O12" i="13"/>
  <c r="P12" i="13"/>
  <c r="M13" i="13"/>
  <c r="N13" i="13"/>
  <c r="O13" i="13"/>
  <c r="P13" i="13"/>
  <c r="M14" i="13"/>
  <c r="N14" i="13"/>
  <c r="O14" i="13"/>
  <c r="P14" i="13"/>
  <c r="N2" i="13"/>
  <c r="O2" i="13"/>
  <c r="P2" i="13"/>
  <c r="T42" i="11"/>
  <c r="T43" i="11"/>
  <c r="T44" i="11"/>
  <c r="T45" i="11"/>
  <c r="T22" i="11"/>
  <c r="T23" i="11"/>
  <c r="T24" i="11"/>
  <c r="T25" i="11"/>
  <c r="T26" i="11"/>
  <c r="T27" i="11"/>
  <c r="T2" i="11"/>
  <c r="T3" i="11"/>
  <c r="T4" i="11"/>
  <c r="T5" i="11"/>
  <c r="T6" i="11"/>
  <c r="T7" i="11"/>
  <c r="M115" i="11"/>
  <c r="N115" i="11"/>
  <c r="O115" i="11"/>
  <c r="M116" i="11"/>
  <c r="N116" i="11"/>
  <c r="O116" i="11"/>
  <c r="M117" i="11"/>
  <c r="N117" i="11"/>
  <c r="O117" i="11"/>
  <c r="M118" i="11"/>
  <c r="N118" i="11"/>
  <c r="O118" i="11"/>
  <c r="M119" i="11"/>
  <c r="N119" i="11"/>
  <c r="O119" i="11"/>
  <c r="M120" i="11"/>
  <c r="N120" i="11"/>
  <c r="O120" i="11"/>
  <c r="M121" i="11"/>
  <c r="N121" i="11"/>
  <c r="O121" i="11"/>
  <c r="M122" i="11"/>
  <c r="N122" i="11"/>
  <c r="O122" i="11"/>
  <c r="M123" i="11"/>
  <c r="N123" i="11"/>
  <c r="O123" i="11"/>
  <c r="M124" i="11"/>
  <c r="N124" i="11"/>
  <c r="O124" i="11"/>
  <c r="M125" i="11"/>
  <c r="N125" i="11"/>
  <c r="O125" i="11"/>
  <c r="N114" i="11"/>
  <c r="O114" i="11"/>
  <c r="M114" i="11"/>
  <c r="M100" i="11"/>
  <c r="N100" i="11"/>
  <c r="O100" i="11"/>
  <c r="M101" i="11"/>
  <c r="N101" i="11"/>
  <c r="O101" i="11"/>
  <c r="M102" i="11"/>
  <c r="N102" i="11"/>
  <c r="O102" i="11"/>
  <c r="M103" i="11"/>
  <c r="N103" i="11"/>
  <c r="O103" i="11"/>
  <c r="M105" i="11"/>
  <c r="N105" i="11"/>
  <c r="O105" i="11"/>
  <c r="M106" i="11"/>
  <c r="N106" i="11"/>
  <c r="O106" i="11"/>
  <c r="M107" i="11"/>
  <c r="N107" i="11"/>
  <c r="O107" i="11"/>
  <c r="M108" i="11"/>
  <c r="N108" i="11"/>
  <c r="O108" i="11"/>
  <c r="M109" i="11"/>
  <c r="N109" i="11"/>
  <c r="O109" i="11"/>
  <c r="M110" i="11"/>
  <c r="N110" i="11"/>
  <c r="O110" i="11"/>
  <c r="M111" i="11"/>
  <c r="N111" i="11"/>
  <c r="O111" i="11"/>
  <c r="N99" i="11"/>
  <c r="O99" i="11"/>
  <c r="M99" i="11"/>
  <c r="M53" i="11"/>
  <c r="N53" i="11"/>
  <c r="O53" i="11"/>
  <c r="M54" i="11"/>
  <c r="N54" i="11"/>
  <c r="O54" i="11"/>
  <c r="M55" i="11"/>
  <c r="N55" i="11"/>
  <c r="O55" i="11"/>
  <c r="M56" i="11"/>
  <c r="N56" i="11"/>
  <c r="O56" i="11"/>
  <c r="M57" i="11"/>
  <c r="N57" i="11"/>
  <c r="O57" i="11"/>
  <c r="M58" i="11"/>
  <c r="N58" i="11"/>
  <c r="O58" i="11"/>
  <c r="M59" i="11"/>
  <c r="N59" i="11"/>
  <c r="O59" i="11"/>
  <c r="M60" i="11"/>
  <c r="N60" i="11"/>
  <c r="O60" i="11"/>
  <c r="M61" i="11"/>
  <c r="N61" i="11"/>
  <c r="O61" i="11"/>
  <c r="M62" i="11"/>
  <c r="N62" i="11"/>
  <c r="O62" i="11"/>
  <c r="M63" i="11"/>
  <c r="N63" i="11"/>
  <c r="O63" i="11"/>
  <c r="M64" i="11"/>
  <c r="N64" i="11"/>
  <c r="O64" i="11"/>
  <c r="M65" i="11"/>
  <c r="N65" i="11"/>
  <c r="O65" i="11"/>
  <c r="M66" i="11"/>
  <c r="N66" i="11"/>
  <c r="O66" i="11"/>
  <c r="N52" i="11"/>
  <c r="O52" i="11"/>
  <c r="M52" i="11"/>
  <c r="M43" i="11"/>
  <c r="N43" i="11"/>
  <c r="O43" i="11"/>
  <c r="M44" i="11"/>
  <c r="N44" i="11"/>
  <c r="O44" i="11"/>
  <c r="M45" i="11"/>
  <c r="N45" i="11"/>
  <c r="O45" i="11"/>
  <c r="M46" i="11"/>
  <c r="N46" i="11"/>
  <c r="O46" i="11"/>
  <c r="M48" i="11"/>
  <c r="N48" i="11"/>
  <c r="O48" i="11"/>
  <c r="M49" i="11"/>
  <c r="N49" i="11"/>
  <c r="O49" i="11"/>
  <c r="N42" i="11"/>
  <c r="O42" i="11"/>
  <c r="M42" i="11"/>
  <c r="M23" i="11"/>
  <c r="N23" i="11"/>
  <c r="O23" i="11"/>
  <c r="M24" i="11"/>
  <c r="N24" i="11"/>
  <c r="O24" i="11"/>
  <c r="M25" i="11"/>
  <c r="N25" i="11"/>
  <c r="O25" i="11"/>
  <c r="M26" i="11"/>
  <c r="N26" i="11"/>
  <c r="O26" i="11"/>
  <c r="M27" i="11"/>
  <c r="N27" i="11"/>
  <c r="O27" i="11"/>
  <c r="M28" i="11"/>
  <c r="N28" i="11"/>
  <c r="O28" i="11"/>
  <c r="M29" i="11"/>
  <c r="N29" i="11"/>
  <c r="O29" i="11"/>
  <c r="M30" i="11"/>
  <c r="N30" i="11"/>
  <c r="O30" i="11"/>
  <c r="M35" i="11"/>
  <c r="N35" i="11"/>
  <c r="O35" i="11"/>
  <c r="M37" i="11"/>
  <c r="N37" i="11"/>
  <c r="O37" i="11"/>
  <c r="M38" i="11"/>
  <c r="N38" i="11"/>
  <c r="O38" i="11"/>
  <c r="M39" i="11"/>
  <c r="N39" i="11"/>
  <c r="O39" i="11"/>
  <c r="N22" i="11"/>
  <c r="O22" i="11"/>
  <c r="M22" i="11"/>
  <c r="M3" i="11"/>
  <c r="N3" i="11"/>
  <c r="O3" i="11"/>
  <c r="M4" i="11"/>
  <c r="N4" i="11"/>
  <c r="O4" i="11"/>
  <c r="M5" i="11"/>
  <c r="N5" i="11"/>
  <c r="O5" i="11"/>
  <c r="M6" i="11"/>
  <c r="N6" i="11"/>
  <c r="O6" i="11"/>
  <c r="M7" i="11"/>
  <c r="N7" i="11"/>
  <c r="O7" i="11"/>
  <c r="M8" i="11"/>
  <c r="N8" i="11"/>
  <c r="O8" i="11"/>
  <c r="M9" i="11"/>
  <c r="N9" i="11"/>
  <c r="O9" i="11"/>
  <c r="M10" i="11"/>
  <c r="N10" i="11"/>
  <c r="O10" i="11"/>
  <c r="M11" i="11"/>
  <c r="N11" i="11"/>
  <c r="O11" i="11"/>
  <c r="M12" i="11"/>
  <c r="N12" i="11"/>
  <c r="O12" i="11"/>
  <c r="M13" i="11"/>
  <c r="N13" i="11"/>
  <c r="O13" i="11"/>
  <c r="M14" i="11"/>
  <c r="N14" i="11"/>
  <c r="O14" i="11"/>
  <c r="M15" i="11"/>
  <c r="N15" i="11"/>
  <c r="O15" i="11"/>
  <c r="N2" i="11"/>
  <c r="O2" i="11"/>
  <c r="N130" i="18" l="1"/>
  <c r="N127" i="18"/>
  <c r="N123" i="18"/>
  <c r="O119" i="18"/>
  <c r="N119" i="18"/>
  <c r="N132" i="18"/>
  <c r="O132" i="18"/>
  <c r="N131" i="18"/>
  <c r="O131" i="18"/>
  <c r="O130" i="18"/>
  <c r="N129" i="18"/>
  <c r="O129" i="18"/>
  <c r="O128" i="18"/>
  <c r="N128" i="18"/>
  <c r="O127" i="18"/>
  <c r="O126" i="18"/>
  <c r="N126" i="18"/>
  <c r="N125" i="18"/>
  <c r="O125" i="18"/>
  <c r="O124" i="18"/>
  <c r="N124" i="18"/>
  <c r="O123" i="18"/>
  <c r="O122" i="18"/>
  <c r="N122" i="18"/>
  <c r="O121" i="18"/>
  <c r="N121" i="18"/>
  <c r="O120" i="18"/>
  <c r="N120" i="18"/>
  <c r="O117" i="18"/>
  <c r="N117" i="18"/>
  <c r="O116" i="18"/>
  <c r="N116" i="18"/>
  <c r="N115" i="18"/>
  <c r="N114" i="18"/>
  <c r="O114" i="18"/>
  <c r="O96" i="18"/>
  <c r="O110" i="18"/>
  <c r="O99" i="18"/>
  <c r="O105" i="18"/>
  <c r="O97" i="18"/>
  <c r="O76" i="18"/>
  <c r="O46" i="18"/>
  <c r="O3" i="18"/>
  <c r="O109" i="18"/>
  <c r="O104" i="18"/>
  <c r="O102" i="18"/>
  <c r="O98" i="18"/>
  <c r="N94" i="18"/>
  <c r="N76" i="18"/>
  <c r="O73" i="18"/>
  <c r="O72" i="18"/>
  <c r="O68" i="18"/>
  <c r="N66" i="18"/>
  <c r="N65" i="18"/>
  <c r="O64" i="18"/>
  <c r="O61" i="18"/>
  <c r="N52" i="18"/>
  <c r="N50" i="18"/>
  <c r="O32" i="18"/>
  <c r="N28" i="18"/>
  <c r="O27" i="18"/>
  <c r="N20" i="18"/>
  <c r="O20" i="18"/>
  <c r="O79" i="18"/>
  <c r="O59" i="18"/>
  <c r="O56" i="18"/>
  <c r="N51" i="18"/>
  <c r="O35" i="18"/>
  <c r="O41" i="18"/>
  <c r="N41" i="18"/>
  <c r="O21" i="18"/>
  <c r="N111" i="18"/>
  <c r="O111" i="18"/>
  <c r="N110" i="18"/>
  <c r="N109" i="18"/>
  <c r="N108" i="18"/>
  <c r="O108" i="18"/>
  <c r="N105" i="18"/>
  <c r="N104" i="18"/>
  <c r="N103" i="18"/>
  <c r="O103" i="18"/>
  <c r="N102" i="18"/>
  <c r="N99" i="18"/>
  <c r="N98" i="18"/>
  <c r="N97" i="18"/>
  <c r="N96" i="18"/>
  <c r="N95" i="18"/>
  <c r="O95" i="18"/>
  <c r="O94" i="18"/>
  <c r="O93" i="18"/>
  <c r="N93" i="18"/>
  <c r="N92" i="18"/>
  <c r="O92" i="18"/>
  <c r="N91" i="18"/>
  <c r="O91" i="18"/>
  <c r="O90" i="18"/>
  <c r="N90" i="18"/>
  <c r="O87" i="18"/>
  <c r="N87" i="18"/>
  <c r="O86" i="18"/>
  <c r="N86" i="18"/>
  <c r="O85" i="18"/>
  <c r="N85" i="18"/>
  <c r="O84" i="18"/>
  <c r="N84" i="18"/>
  <c r="N83" i="18"/>
  <c r="O83" i="18"/>
  <c r="N82" i="18"/>
  <c r="O82" i="18"/>
  <c r="N81" i="18"/>
  <c r="O81" i="18"/>
  <c r="N80" i="18"/>
  <c r="O80" i="18"/>
  <c r="N79" i="18"/>
  <c r="N78" i="18"/>
  <c r="O78" i="18"/>
  <c r="N77" i="18"/>
  <c r="O77" i="18"/>
  <c r="N73" i="18"/>
  <c r="N72" i="18"/>
  <c r="O71" i="18"/>
  <c r="N71" i="18"/>
  <c r="N70" i="18"/>
  <c r="O70" i="18"/>
  <c r="O69" i="18"/>
  <c r="N69" i="18"/>
  <c r="N68" i="18"/>
  <c r="O67" i="18"/>
  <c r="N67" i="18"/>
  <c r="O66" i="18"/>
  <c r="O65" i="18"/>
  <c r="N64" i="18"/>
  <c r="N63" i="18"/>
  <c r="O63" i="18"/>
  <c r="N62" i="18"/>
  <c r="O62" i="18"/>
  <c r="N61" i="18"/>
  <c r="N60" i="18"/>
  <c r="O60" i="18"/>
  <c r="N59" i="18"/>
  <c r="O58" i="18"/>
  <c r="N58" i="18"/>
  <c r="O57" i="18"/>
  <c r="N57" i="18"/>
  <c r="N56" i="18"/>
  <c r="O55" i="18"/>
  <c r="N55" i="18"/>
  <c r="O52" i="18"/>
  <c r="O51" i="18"/>
  <c r="O50" i="18"/>
  <c r="N49" i="18"/>
  <c r="O49" i="18"/>
  <c r="N48" i="18"/>
  <c r="O48" i="18"/>
  <c r="N47" i="18"/>
  <c r="O47" i="18"/>
  <c r="N46" i="18"/>
  <c r="O43" i="18"/>
  <c r="N43" i="18"/>
  <c r="O42" i="18"/>
  <c r="N42" i="18"/>
  <c r="O40" i="18"/>
  <c r="N40" i="18"/>
  <c r="O39" i="18"/>
  <c r="N39" i="18"/>
  <c r="O38" i="18"/>
  <c r="N38" i="18"/>
  <c r="O37" i="18"/>
  <c r="N37" i="18"/>
  <c r="O36" i="18"/>
  <c r="N36" i="18"/>
  <c r="N35" i="18"/>
  <c r="O34" i="18"/>
  <c r="N34" i="18"/>
  <c r="O33" i="18"/>
  <c r="N33" i="18"/>
  <c r="N32" i="18"/>
  <c r="O31" i="18"/>
  <c r="N31" i="18"/>
  <c r="O30" i="18"/>
  <c r="N30" i="18"/>
  <c r="O29" i="18"/>
  <c r="N29" i="18"/>
  <c r="O28" i="18"/>
  <c r="N27" i="18"/>
  <c r="O24" i="18"/>
  <c r="N24" i="18"/>
  <c r="O23" i="18"/>
  <c r="N23" i="18"/>
  <c r="O22" i="18"/>
  <c r="N22" i="18"/>
  <c r="N21" i="18"/>
  <c r="N19" i="18"/>
  <c r="O19" i="18"/>
  <c r="N18" i="18"/>
  <c r="O18" i="18"/>
  <c r="O17" i="18"/>
  <c r="N17" i="18"/>
  <c r="O16" i="18"/>
  <c r="N16" i="18"/>
  <c r="O15" i="18"/>
  <c r="N15" i="18"/>
  <c r="O14" i="18"/>
  <c r="N14" i="18"/>
  <c r="O13" i="18"/>
  <c r="N13" i="18"/>
  <c r="O12" i="18"/>
  <c r="N12" i="18"/>
  <c r="N11" i="18"/>
  <c r="O11" i="18"/>
  <c r="N10" i="18"/>
  <c r="O10" i="18"/>
  <c r="N9" i="18"/>
  <c r="O9" i="18"/>
  <c r="N8" i="18"/>
  <c r="O8" i="18"/>
  <c r="O7" i="18"/>
  <c r="N7" i="18"/>
  <c r="N6" i="18"/>
  <c r="O6" i="18"/>
  <c r="N5" i="18"/>
  <c r="O5" i="18"/>
  <c r="O4" i="18"/>
  <c r="N4" i="18"/>
  <c r="N3" i="18"/>
  <c r="O2" i="18"/>
  <c r="N2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<sst xmlns="http://schemas.openxmlformats.org/spreadsheetml/2006/main" count="1398" uniqueCount="486">
  <si>
    <t>MBSHARC MODEL</t>
  </si>
  <si>
    <t>CDB</t>
  </si>
  <si>
    <t>Export Data</t>
  </si>
  <si>
    <t>Assembly name</t>
  </si>
  <si>
    <t>Front Suspension</t>
  </si>
  <si>
    <t>Rear Suspension</t>
  </si>
  <si>
    <t>Steering</t>
  </si>
  <si>
    <t>Body</t>
  </si>
  <si>
    <t>Engine</t>
  </si>
  <si>
    <t>Powertrain</t>
  </si>
  <si>
    <t>Driveline</t>
  </si>
  <si>
    <t>Antirollbar Front</t>
  </si>
  <si>
    <t>Antirollbar Rear</t>
  </si>
  <si>
    <t>Tire Front</t>
  </si>
  <si>
    <t>Tire Rear</t>
  </si>
  <si>
    <t>Front Suspension HP</t>
  </si>
  <si>
    <t>Symmetry</t>
  </si>
  <si>
    <t>X1</t>
  </si>
  <si>
    <t>Y1</t>
  </si>
  <si>
    <t>Z1</t>
  </si>
  <si>
    <t>Symmetry2</t>
  </si>
  <si>
    <t>X2</t>
  </si>
  <si>
    <t>Y2</t>
  </si>
  <si>
    <t>Z2</t>
  </si>
  <si>
    <t>DX</t>
  </si>
  <si>
    <t>DY</t>
  </si>
  <si>
    <t>DZ</t>
  </si>
  <si>
    <t>Front Suspension Parameters</t>
  </si>
  <si>
    <t>Program 1</t>
  </si>
  <si>
    <t>Program 2</t>
  </si>
  <si>
    <t>Delta</t>
  </si>
  <si>
    <t>Select Program 1</t>
  </si>
  <si>
    <t>pt1</t>
  </si>
  <si>
    <t>pt11_offset (mm)</t>
  </si>
  <si>
    <t>Select Program 2</t>
  </si>
  <si>
    <t>pt10</t>
  </si>
  <si>
    <t>wheel_bearing_offset (mm)</t>
  </si>
  <si>
    <t>pt15</t>
  </si>
  <si>
    <t>Toe angle (deg)</t>
  </si>
  <si>
    <t>pt16</t>
  </si>
  <si>
    <t>Camber angle (deg)</t>
  </si>
  <si>
    <t>pt17</t>
  </si>
  <si>
    <t>Bumpstop clearence (mm)</t>
  </si>
  <si>
    <t>pt18</t>
  </si>
  <si>
    <t>Damper preload (N)</t>
  </si>
  <si>
    <t>pt19</t>
  </si>
  <si>
    <t>pt2</t>
  </si>
  <si>
    <t>pt4</t>
  </si>
  <si>
    <t>pt44</t>
  </si>
  <si>
    <t>pt5</t>
  </si>
  <si>
    <t>Rear Suspension HP</t>
  </si>
  <si>
    <t>Rear Suspension Parameters</t>
  </si>
  <si>
    <t>pt100</t>
  </si>
  <si>
    <t>pt21</t>
  </si>
  <si>
    <t>pt25</t>
  </si>
  <si>
    <t>upr_acc1</t>
  </si>
  <si>
    <t>upr_acc2</t>
  </si>
  <si>
    <t>upr_acc3</t>
  </si>
  <si>
    <t>Steering HP</t>
  </si>
  <si>
    <t>Steering Parameters</t>
  </si>
  <si>
    <t>rack_housing_mount</t>
  </si>
  <si>
    <t>max_steering_rack_displacement</t>
  </si>
  <si>
    <t>rack_housing_mount_bis</t>
  </si>
  <si>
    <t>max_steering_rack_force</t>
  </si>
  <si>
    <t>tierod_inner</t>
  </si>
  <si>
    <t>max_steering_wheel_angle</t>
  </si>
  <si>
    <t>intermediate_shaft_forward</t>
  </si>
  <si>
    <t>max_steering_wheel_torque</t>
  </si>
  <si>
    <t>intermediate_shaft_rearward</t>
  </si>
  <si>
    <t>pinion_pivot</t>
  </si>
  <si>
    <t>steering_wheel_center</t>
  </si>
  <si>
    <t>pt1001</t>
  </si>
  <si>
    <t>pt1002</t>
  </si>
  <si>
    <t>pt1003</t>
  </si>
  <si>
    <t>pt1004</t>
  </si>
  <si>
    <t>pt2001</t>
  </si>
  <si>
    <t>pt2002</t>
  </si>
  <si>
    <t>pt2003</t>
  </si>
  <si>
    <t>pt2004</t>
  </si>
  <si>
    <t>pt2005</t>
  </si>
  <si>
    <t>pt2006</t>
  </si>
  <si>
    <t>pt2007</t>
  </si>
  <si>
    <t>pt27</t>
  </si>
  <si>
    <t>pt27a</t>
  </si>
  <si>
    <t>pt29</t>
  </si>
  <si>
    <t>*Falta diametro de barra</t>
  </si>
  <si>
    <t>pt26</t>
  </si>
  <si>
    <t>Engine HP</t>
  </si>
  <si>
    <t>accelerometer_1</t>
  </si>
  <si>
    <t>accelerometer_2</t>
  </si>
  <si>
    <t>differential</t>
  </si>
  <si>
    <t>engine_center</t>
  </si>
  <si>
    <t>gearbox</t>
  </si>
  <si>
    <t>mount_engine_side</t>
  </si>
  <si>
    <t>mount_gearbox_side</t>
  </si>
  <si>
    <t>rod_1_external</t>
  </si>
  <si>
    <t>rod_1_to_engine</t>
  </si>
  <si>
    <t>rod_2_external</t>
  </si>
  <si>
    <t>rod_2_to_engine</t>
  </si>
  <si>
    <t>transfer_case</t>
  </si>
  <si>
    <t>body_footprint_front</t>
  </si>
  <si>
    <t>body_footprint_rear</t>
  </si>
  <si>
    <t>accelerometer_3</t>
  </si>
  <si>
    <t>accelerometer_4</t>
  </si>
  <si>
    <t>aero_forces_ref</t>
  </si>
  <si>
    <t>floor</t>
  </si>
  <si>
    <t>full_vehicle_cg</t>
  </si>
  <si>
    <t>road_graphics</t>
  </si>
  <si>
    <t>seat_rail</t>
  </si>
  <si>
    <t>Front Suspension Parts</t>
  </si>
  <si>
    <t>Mass1</t>
  </si>
  <si>
    <t>IXX1</t>
  </si>
  <si>
    <t>IYY1</t>
  </si>
  <si>
    <t>IZZ1</t>
  </si>
  <si>
    <t>Mass2</t>
  </si>
  <si>
    <t>IXX2</t>
  </si>
  <si>
    <t>IYY2</t>
  </si>
  <si>
    <t>IZZ2</t>
  </si>
  <si>
    <t>Dmass</t>
  </si>
  <si>
    <t>DIXX</t>
  </si>
  <si>
    <t>DIYY</t>
  </si>
  <si>
    <t>DIZZ</t>
  </si>
  <si>
    <t>brake_mount</t>
  </si>
  <si>
    <t>drive_shaft</t>
  </si>
  <si>
    <t>lower_control_arm</t>
  </si>
  <si>
    <t>lower_strut</t>
  </si>
  <si>
    <t>spindle</t>
  </si>
  <si>
    <t>tierod</t>
  </si>
  <si>
    <t>tripot</t>
  </si>
  <si>
    <t>upper_strut</t>
  </si>
  <si>
    <t>upright</t>
  </si>
  <si>
    <t>Rear Suspension Parts</t>
  </si>
  <si>
    <t>*Não ocorre exportação de massa e inércias vindo do MNF do eixo</t>
  </si>
  <si>
    <t>Steering Parts</t>
  </si>
  <si>
    <t>intermediate_shaft</t>
  </si>
  <si>
    <t>lower_shaft</t>
  </si>
  <si>
    <t>pinion</t>
  </si>
  <si>
    <t>rack</t>
  </si>
  <si>
    <t>rack_housing</t>
  </si>
  <si>
    <t>steering_wheel</t>
  </si>
  <si>
    <t>upper_shaft</t>
  </si>
  <si>
    <t>Engine Parts</t>
  </si>
  <si>
    <t>engine</t>
  </si>
  <si>
    <t>rod_1</t>
  </si>
  <si>
    <t>Body Parts</t>
  </si>
  <si>
    <t>fuel</t>
  </si>
  <si>
    <t>GENERIC SPLINE PLOT</t>
  </si>
  <si>
    <t>BUSHING SPLINES PLOT</t>
  </si>
  <si>
    <t>Subsystems</t>
  </si>
  <si>
    <t>Subsystem</t>
  </si>
  <si>
    <t>Vínculo 1</t>
  </si>
  <si>
    <t>TX</t>
  </si>
  <si>
    <t>TY</t>
  </si>
  <si>
    <t>TZ</t>
  </si>
  <si>
    <t>Select Program 3</t>
  </si>
  <si>
    <t>Select Program 4</t>
  </si>
  <si>
    <t>Select Subsystem</t>
  </si>
  <si>
    <t>RX</t>
  </si>
  <si>
    <t>RY</t>
  </si>
  <si>
    <t>RZ</t>
  </si>
  <si>
    <t>SA_boost_curves</t>
  </si>
  <si>
    <t>engine_torque</t>
  </si>
  <si>
    <t>capacity_factor</t>
  </si>
  <si>
    <t>torque_ratio</t>
  </si>
  <si>
    <t>transmission_data</t>
  </si>
  <si>
    <t>wheel</t>
  </si>
  <si>
    <t xml:space="preserve">MODEL </t>
  </si>
  <si>
    <t>INFO</t>
  </si>
  <si>
    <t>MASS PROPERTIES</t>
  </si>
  <si>
    <t>pt16.rx_spline, pt16.ry_spline, pt16.rz_spline</t>
  </si>
  <si>
    <t>pt16.tx_spline, pt16.ty_spline, pt16.tz_spline</t>
  </si>
  <si>
    <t>pt15.rx_spline, pt15.ry_spline, pt15.rz_spline</t>
  </si>
  <si>
    <t>pt15.tx_spline, pt15.ty_spline, pt15.tz_spline</t>
  </si>
  <si>
    <t>pt44.rx_spline, pt44.ry_spline, pt44.rz_spline</t>
  </si>
  <si>
    <t>pt44.tx_spline, pt44.ty_spline, pt44.tz_spline</t>
  </si>
  <si>
    <t>pt5.rx_spline, pt5.ry_spline, pt5.rz_spline</t>
  </si>
  <si>
    <t>pt5.tx_spline, pt5.ty_spline, pt5.tz_spline</t>
  </si>
  <si>
    <t>bumpstop.spline</t>
  </si>
  <si>
    <t>dal_ride_damper.spline</t>
  </si>
  <si>
    <t>ride_spring.spline</t>
  </si>
  <si>
    <t>pt4.rx_spline, pt4.ry_spline, pt4.rz_spline</t>
  </si>
  <si>
    <t>pt4.tx_spline, pt4.ty_spline, pt4.tz_spline</t>
  </si>
  <si>
    <t>reboundstop.spline</t>
  </si>
  <si>
    <t>Steering_line_stiffness.rx_spline, Steering_line_stiffness.ry_spline, Steering_line_stiffness.rz_spline</t>
  </si>
  <si>
    <t>Steering_line_stiffness.tx_spline, Steering_line_stiffness.ty_spline, Steering_line_stiffness.tz_spline</t>
  </si>
  <si>
    <t>rack_housing_mount.rx_spline, rack_housing_mount.ry_spline, rack_housing_mount.rz_spline</t>
  </si>
  <si>
    <t>rack_housing_mount.tx_spline, rack_housing_mount.ty_spline, rack_housing_mount.tz_spline</t>
  </si>
  <si>
    <t>torsion_bar.rx_spline, torsion_bar.ry_spline, torsion_bar.rz_spline</t>
  </si>
  <si>
    <t>torsion_bar.tx_spline, torsion_bar.ty_spline, torsion_bar.tz_spline</t>
  </si>
  <si>
    <t>pt27.rx_spline, pt27.ry_spline, pt27.rz_spline</t>
  </si>
  <si>
    <t>pt27.tx_spline, pt27.ty_spline, pt27.tz_spline</t>
  </si>
  <si>
    <t>pt27a.rx_spline, pt27a.ry_spline, pt27a.rz_spline</t>
  </si>
  <si>
    <t>pt27a.tx_spline, pt27a.ty_spline, pt27a.tz_spline</t>
  </si>
  <si>
    <t>pt29.rx_spline, pt29.ry_spline, pt29.rz_spline</t>
  </si>
  <si>
    <t>pt29.tx_spline, pt29.ty_spline, pt29.tz_spline</t>
  </si>
  <si>
    <t>Veículo</t>
  </si>
  <si>
    <t>Coluna Inicial</t>
  </si>
  <si>
    <t>pt1.rx_spline, pt1.ry_spline, pt1.rz_spline</t>
  </si>
  <si>
    <t>pt1.tx_spline, pt1.ty_spline, pt1.tz_spline</t>
  </si>
  <si>
    <t>pt10.rx_spline, pt10.ry_spline, pt10.rz_spline</t>
  </si>
  <si>
    <t>pt10.tx_spline, pt10.ty_spline, pt10.tz_spline</t>
  </si>
  <si>
    <t>pt2.rx_spline, pt2.ry_spline, pt2.rz_spline</t>
  </si>
  <si>
    <t>pt2.tx_spline, pt2.ty_spline, pt2.tz_spline</t>
  </si>
  <si>
    <t>pt100.rx_spline, pt100.ry_spline, pt100.rz_spline</t>
  </si>
  <si>
    <t>pt100.tx_spline, pt100.ty_spline, pt100.tz_spline</t>
  </si>
  <si>
    <t>mount_engine_side.rx_spline, mount_engine_side.ry_spline, mount_engine_side.rz_spline</t>
  </si>
  <si>
    <t>mount_engine_side.tx_spline, mount_engine_side.ty_spline, mount_engine_side.tz_spline</t>
  </si>
  <si>
    <t>mount_gearbox_side.rx_spline, mount_gearbox_side.ry_spline, mount_gearbox_side.rz_spline</t>
  </si>
  <si>
    <t>mount_gearbox_side.tx_spline, mount_gearbox_side.ty_spline, mount_gearbox_side.tz_spline</t>
  </si>
  <si>
    <t>rod_1_to_engine.rx_spline, rod_1_to_engine.ry_spline, rod_1_to_engine.rz_spline</t>
  </si>
  <si>
    <t>rod_1_to_engine.tx_spline, rod_1_to_engine.ty_spline, rod_1_to_engine.tz_spline</t>
  </si>
  <si>
    <t>rod_1_to_external.rx_spline, rod_1_to_external.ry_spline, rod_1_to_external.rz_spline</t>
  </si>
  <si>
    <t>rod_1_to_external.tx_spline, rod_1_to_external.ty_spline, rod_1_to_external.tz_spline</t>
  </si>
  <si>
    <t>HARDPOINTS</t>
  </si>
  <si>
    <t>pt40</t>
  </si>
  <si>
    <t>pt6</t>
  </si>
  <si>
    <t>pt7</t>
  </si>
  <si>
    <t>axle_extremity</t>
  </si>
  <si>
    <t>pt130</t>
  </si>
  <si>
    <t>pt131</t>
  </si>
  <si>
    <t>lower_shaft_rearward</t>
  </si>
  <si>
    <t>pt1005</t>
  </si>
  <si>
    <t>pt1006</t>
  </si>
  <si>
    <t>pt2008</t>
  </si>
  <si>
    <t>pt2009</t>
  </si>
  <si>
    <t>pt2010</t>
  </si>
  <si>
    <t>pt2011</t>
  </si>
  <si>
    <t>pt2012</t>
  </si>
  <si>
    <t>pt2013</t>
  </si>
  <si>
    <t>pt2014</t>
  </si>
  <si>
    <t>pt2015</t>
  </si>
  <si>
    <t>pt2016</t>
  </si>
  <si>
    <t>pt2017</t>
  </si>
  <si>
    <t>pt2018</t>
  </si>
  <si>
    <t>mount_differential_side</t>
  </si>
  <si>
    <t>a_pillar</t>
  </si>
  <si>
    <t>b_pillar</t>
  </si>
  <si>
    <t>c_pillar</t>
  </si>
  <si>
    <t>driver_head</t>
  </si>
  <si>
    <t>fesm</t>
  </si>
  <si>
    <t>pickup_box_a</t>
  </si>
  <si>
    <t>pickup_box_b</t>
  </si>
  <si>
    <t>pickup_box_c</t>
  </si>
  <si>
    <t>hitch_ball_location</t>
  </si>
  <si>
    <t>camber_adj_aux_part</t>
  </si>
  <si>
    <t>camber_adj_aux_part_2</t>
  </si>
  <si>
    <t>toe_adj_aux_part</t>
  </si>
  <si>
    <t>upper_control_arm</t>
  </si>
  <si>
    <t>lower_link</t>
  </si>
  <si>
    <t>upper_link</t>
  </si>
  <si>
    <t>panhard_rod</t>
  </si>
  <si>
    <t>rigid_axle</t>
  </si>
  <si>
    <t>intermediate_shaft1</t>
  </si>
  <si>
    <t>intermediate_shaft2</t>
  </si>
  <si>
    <t>front_passenger</t>
  </si>
  <si>
    <t>cab</t>
  </si>
  <si>
    <t>handling_measure</t>
  </si>
  <si>
    <t>handling_measure_cab</t>
  </si>
  <si>
    <t>payload</t>
  </si>
  <si>
    <t>pickup_box</t>
  </si>
  <si>
    <t>rear_bumper_mass</t>
  </si>
  <si>
    <t>PARAMETERS</t>
  </si>
  <si>
    <t>PROPERTIES FILES</t>
  </si>
  <si>
    <t>File Name</t>
  </si>
  <si>
    <t>bgl_pt100_loc_stiff.property_file</t>
  </si>
  <si>
    <t>bgl_pt16.property_file</t>
  </si>
  <si>
    <t>bgl_pt1_loc_stiff.property_file</t>
  </si>
  <si>
    <t>bgl_pt2_loc_stiff.property_file</t>
  </si>
  <si>
    <t>bgl_pt44_loc_stiff.property_file</t>
  </si>
  <si>
    <t>bgl_pt6_loc_stiff.property_file</t>
  </si>
  <si>
    <t>bgl_pt7_loc_stiff.property_file</t>
  </si>
  <si>
    <t>bkl_pt1.property_file</t>
  </si>
  <si>
    <t>bkl_pt10.property_file</t>
  </si>
  <si>
    <t>bkl_pt100.property_file</t>
  </si>
  <si>
    <t>bkl_pt15.property_file</t>
  </si>
  <si>
    <t>bkl_pt2.property_file</t>
  </si>
  <si>
    <t>bkl_pt40.property_file</t>
  </si>
  <si>
    <t>bkl_pt44.property_file</t>
  </si>
  <si>
    <t>bkl_pt5.property_file</t>
  </si>
  <si>
    <t>bkl_pt6.property_file</t>
  </si>
  <si>
    <t>bkl_pt7.property_file</t>
  </si>
  <si>
    <t>bul_bumpstop.property_file</t>
  </si>
  <si>
    <t>dal_ride_damper.property_file</t>
  </si>
  <si>
    <t>nsl_ride_spring.property_file</t>
  </si>
  <si>
    <t>rel_rebound_plate.property_file</t>
  </si>
  <si>
    <t>rel_rebound_spring.property_file</t>
  </si>
  <si>
    <t>rel_reboundstop.property_file</t>
  </si>
  <si>
    <t>bgl_pt1.property_file</t>
  </si>
  <si>
    <t>bgl_pt2.property_file</t>
  </si>
  <si>
    <t>bgl_pt2_bis.property_file</t>
  </si>
  <si>
    <t>bgl_pt6.property_file</t>
  </si>
  <si>
    <t>bgl_pt7.property_file</t>
  </si>
  <si>
    <t>bgs_pt130.property_file</t>
  </si>
  <si>
    <t>bgs_pt131.property_file</t>
  </si>
  <si>
    <t>bkl_axle_flex.property_file</t>
  </si>
  <si>
    <t>bkl_pt4.property_file</t>
  </si>
  <si>
    <t>bgl_rack_housing_mount_bis.property_file</t>
  </si>
  <si>
    <t>bgs_Steering_line_stiffness.property_file</t>
  </si>
  <si>
    <t>bkl_rack_housing_mount.property_file</t>
  </si>
  <si>
    <t>bks_torsion_bar.property_file</t>
  </si>
  <si>
    <t>bul_assister_spring.property_file</t>
  </si>
  <si>
    <t>gss_SA_boost_curves.property_file</t>
  </si>
  <si>
    <t>gss_variable_ratio.property_file</t>
  </si>
  <si>
    <t>bgs_fourth_mount.property_file</t>
  </si>
  <si>
    <t>bgs_fourth_mount_loc_stiff.property_file</t>
  </si>
  <si>
    <t>bgs_mount_differential_side.property_file</t>
  </si>
  <si>
    <t>bgs_mount_differential_side_loc_stiff.property_file</t>
  </si>
  <si>
    <t>bgs_mount_engine_side.property_file</t>
  </si>
  <si>
    <t>bgs_mount_engine_side_loc_stiff.property_file</t>
  </si>
  <si>
    <t>bgs_mount_gearbox_side.property_file</t>
  </si>
  <si>
    <t>bgs_mount_gearbox_side_loc_stiff.property_file</t>
  </si>
  <si>
    <t>bgs_rod_1_to_engine.property_file</t>
  </si>
  <si>
    <t>bgs_rod_1_to_external.property_file</t>
  </si>
  <si>
    <t>bgs_rod_1_to_external_loc_stiff.property_file</t>
  </si>
  <si>
    <t>bgs_rod_2_to_engine.property_file</t>
  </si>
  <si>
    <t>bgs_rod_2_to_external.property_file</t>
  </si>
  <si>
    <t>bgs_rod_2_to_external_loc_stiff.property_file</t>
  </si>
  <si>
    <t>bus_engine_bumpstop.property_file</t>
  </si>
  <si>
    <t>das_rod_1_damping.property_file</t>
  </si>
  <si>
    <t>das_rod_2_damping.property_file</t>
  </si>
  <si>
    <t>nss_rod_1_stiffness.property_file</t>
  </si>
  <si>
    <t>nss_rod_2_stiffness.property_file</t>
  </si>
  <si>
    <t>gss_capacity_factor.property_file</t>
  </si>
  <si>
    <t>gss_engine_torque.property_file</t>
  </si>
  <si>
    <t>gss_gear_engine_torque_1.property_file</t>
  </si>
  <si>
    <t>gss_gear_engine_torque_2.property_file</t>
  </si>
  <si>
    <t>gss_gear_engine_torque_3.property_file</t>
  </si>
  <si>
    <t>gss_gear_engine_torque_4.property_file</t>
  </si>
  <si>
    <t>gss_gear_engine_torque_5.property_file</t>
  </si>
  <si>
    <t>gss_gear_engine_torque_6.property_file</t>
  </si>
  <si>
    <t>gss_gear_engine_torque_7.property_file</t>
  </si>
  <si>
    <t>gss_gear_engine_torque_8.property_file</t>
  </si>
  <si>
    <t>gss_gear_engine_torque_9.property_file</t>
  </si>
  <si>
    <t>gss_torque_ratio.property_file</t>
  </si>
  <si>
    <t>bgl_box_to_frame_A.property_file</t>
  </si>
  <si>
    <t>bgl_box_to_frame_B.property_file</t>
  </si>
  <si>
    <t>bgl_box_to_frame_C.property_file</t>
  </si>
  <si>
    <t>bgl_cab_to_frame_A_mnt.property_file</t>
  </si>
  <si>
    <t>bgl_cab_to_frame_B_mnt.property_file</t>
  </si>
  <si>
    <t>bgl_cab_to_frame_C_mnt.property_file</t>
  </si>
  <si>
    <t>bgl_cab_to_frame_FESM_mnt.property_file</t>
  </si>
  <si>
    <t>gss_aero_forces_map_downforce_front.property_file</t>
  </si>
  <si>
    <t>gss_aero_forces_map_downforce_rear.property_file</t>
  </si>
  <si>
    <t>gss_aero_forces_map_dragforce.property_file</t>
  </si>
  <si>
    <t>bgl_pt27.property_file</t>
  </si>
  <si>
    <t>bgl_pt27a.property_file</t>
  </si>
  <si>
    <t>bgl_pt29.property_file</t>
  </si>
  <si>
    <t>bgl_pt29a.property_file</t>
  </si>
  <si>
    <t>SPLINES</t>
  </si>
  <si>
    <t>pt40.rx_spline, pt40.ry_spline, pt40.rz_spline</t>
  </si>
  <si>
    <t>pt40.tx_spline, pt40.ty_spline, pt40.tz_spline</t>
  </si>
  <si>
    <t>pt6.rx_spline, pt6.ry_spline, pt6.rz_spline</t>
  </si>
  <si>
    <t>pt6.tx_spline, pt6.ty_spline, pt6.tz_spline</t>
  </si>
  <si>
    <t>pt7.rx_spline, pt7.ry_spline, pt7.rz_spline</t>
  </si>
  <si>
    <t>pt7.tx_spline, pt7.ty_spline, pt7.tz_spline</t>
  </si>
  <si>
    <t>pt130.rx_spline, pt130.ry_spline, pt130.rz_spline</t>
  </si>
  <si>
    <t>pt130.tx_spline, pt130.ty_spline, pt130.tz_spline</t>
  </si>
  <si>
    <t>pt131.rx_spline, pt131.ry_spline, pt131.rz_spline</t>
  </si>
  <si>
    <t>pt131.tx_spline, pt131.ty_spline, pt131.tz_spline</t>
  </si>
  <si>
    <t>mount_differential_side.rx_spline, mount_differential_side.ry_spline, mount_differential_side.rz_spline</t>
  </si>
  <si>
    <t>mount_differential_side.tx_spline, mount_differential_side.ty_spline, mount_differential_side.tz_spline</t>
  </si>
  <si>
    <t>cab_to_frame_A_mnt.tx_spline, cab_to_frame_A_mnt.ty_spline, cab_to_frame_A_mnt.tz_spline</t>
  </si>
  <si>
    <t>cab_to_frame_B_mnt.rx_spline, cab_to_frame_B_mnt.ry_spline, cab_to_frame_B_mnt.rz_spline</t>
  </si>
  <si>
    <t>cab_to_frame_B_mnt.tx_spline, cab_to_frame_B_mnt.ty_spline, cab_to_frame_B_mnt.tz_spline</t>
  </si>
  <si>
    <t>cab_to_frame_C_mnt.rx_spline, cab_to_frame_C_mnt.ry_spline, cab_to_frame_C_mnt.rz_spline</t>
  </si>
  <si>
    <t>cab_to_frame_C_mnt.tx_spline, cab_to_frame_C_mnt.ty_spline, cab_to_frame_C_mnt.tz_spline</t>
  </si>
  <si>
    <t>cab_to_frame_FESM_mnt.rx_spline, cab_to_frame_FESM_mnt.ry_spline, cab_to_frame_FESM_mnt.rz_spline</t>
  </si>
  <si>
    <t>cab_to_frame_FESM_mnt.tx_spline, cab_to_frame_FESM_mnt.ty_spline, cab_to_frame_FESM_mnt.tz_spline</t>
  </si>
  <si>
    <t>File Name2</t>
  </si>
  <si>
    <t>Symmetry3</t>
  </si>
  <si>
    <t>Database</t>
  </si>
  <si>
    <t>File</t>
  </si>
  <si>
    <t>Database2</t>
  </si>
  <si>
    <t>File3</t>
  </si>
  <si>
    <t>Database3</t>
  </si>
  <si>
    <t>File2</t>
  </si>
  <si>
    <t>EDM</t>
  </si>
  <si>
    <t>ARB Front HP</t>
  </si>
  <si>
    <t>ARB Rear HP</t>
  </si>
  <si>
    <t>EDM HP</t>
  </si>
  <si>
    <t>Body on Frame HP</t>
  </si>
  <si>
    <t>Front Wheel Parts</t>
  </si>
  <si>
    <t>Rear Wheel Parts</t>
  </si>
  <si>
    <t>EDM Parts</t>
  </si>
  <si>
    <t>Front Suspension Property</t>
  </si>
  <si>
    <t>Rear Suspension Property</t>
  </si>
  <si>
    <t>Steering Property</t>
  </si>
  <si>
    <t>Engine Property</t>
  </si>
  <si>
    <t>Powertrain Property</t>
  </si>
  <si>
    <t>Body Property</t>
  </si>
  <si>
    <t>Front ARB Property</t>
  </si>
  <si>
    <t>Rear ARB Property</t>
  </si>
  <si>
    <t>EDM Property</t>
  </si>
  <si>
    <t>suspension:front</t>
  </si>
  <si>
    <t>suspension:rear</t>
  </si>
  <si>
    <t>Steering:Front</t>
  </si>
  <si>
    <t>Antirollbar:Front</t>
  </si>
  <si>
    <t>Antirollbar:Rear</t>
  </si>
  <si>
    <t>Engine:Front</t>
  </si>
  <si>
    <t>powertrain:front</t>
  </si>
  <si>
    <t>bgl_pt100.property_file</t>
  </si>
  <si>
    <t>bgl_pt4.property_file</t>
  </si>
  <si>
    <t>body:any</t>
  </si>
  <si>
    <t xml:space="preserve">cab_to_frame_A_mnt.rx_spline, cab_to_frame_A_mnt.ry_spline, cab_to_frame_A_mnt.rz_spline </t>
  </si>
  <si>
    <t>Engine:any</t>
  </si>
  <si>
    <t>Splines exported</t>
  </si>
  <si>
    <t>Torsion Bar</t>
  </si>
  <si>
    <t>Select Bushing Spline</t>
  </si>
  <si>
    <t>Select Generic Spline</t>
  </si>
  <si>
    <t>Bushing names</t>
  </si>
  <si>
    <t>PT16</t>
  </si>
  <si>
    <t>PT1</t>
  </si>
  <si>
    <t>PT10</t>
  </si>
  <si>
    <t>PT100</t>
  </si>
  <si>
    <t>PT15</t>
  </si>
  <si>
    <t>PT2</t>
  </si>
  <si>
    <t>PT40</t>
  </si>
  <si>
    <t>PT44</t>
  </si>
  <si>
    <t>PT5</t>
  </si>
  <si>
    <t>PT6</t>
  </si>
  <si>
    <t>PT7</t>
  </si>
  <si>
    <t>PT130</t>
  </si>
  <si>
    <t>PT131</t>
  </si>
  <si>
    <t>PT4</t>
  </si>
  <si>
    <t>Column stiffness</t>
  </si>
  <si>
    <t>Rack mount</t>
  </si>
  <si>
    <t>Differential mount</t>
  </si>
  <si>
    <t>Engine side mount</t>
  </si>
  <si>
    <t>Gearbox side mount</t>
  </si>
  <si>
    <t>Rod1 to engine mount</t>
  </si>
  <si>
    <t>Rod1 to body mount</t>
  </si>
  <si>
    <t>Cab to Frame A</t>
  </si>
  <si>
    <t>Cab to Frame B</t>
  </si>
  <si>
    <t>Cab to Frame C</t>
  </si>
  <si>
    <t>Cab to Frame FESM</t>
  </si>
  <si>
    <t>SELECT MENU</t>
  </si>
  <si>
    <t>*Atenção! As unidades das buchas podem estar diferentes, caso exista uma discrepância muito grande conferir no .bus</t>
  </si>
  <si>
    <t>Coluna16</t>
  </si>
  <si>
    <t>Coluna17</t>
  </si>
  <si>
    <t>Coluna18</t>
  </si>
  <si>
    <t>Coluna19</t>
  </si>
  <si>
    <t>Coluna20</t>
  </si>
  <si>
    <t>REF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</si>
  <si>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</si>
  <si>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</si>
  <si>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</si>
  <si>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</si>
  <si>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</si>
  <si>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</si>
  <si>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</si>
  <si>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</si>
  <si>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</si>
  <si>
    <t>Coluna12</t>
  </si>
  <si>
    <t>Coluna13</t>
  </si>
  <si>
    <t>Coluna14</t>
  </si>
  <si>
    <t>Coluna15</t>
  </si>
  <si>
    <t>Vehicle Dynamics Simulations - SATC</t>
  </si>
  <si>
    <t>Component Chart Tool</t>
  </si>
  <si>
    <t>User Instructions</t>
  </si>
  <si>
    <t>1 -</t>
  </si>
  <si>
    <t>2 -</t>
  </si>
  <si>
    <t>3 -</t>
  </si>
  <si>
    <t>4 -</t>
  </si>
  <si>
    <t>5 -</t>
  </si>
  <si>
    <t>6 -</t>
  </si>
  <si>
    <t>7 -</t>
  </si>
  <si>
    <r>
      <rPr>
        <b/>
        <sz val="14"/>
        <color theme="9"/>
        <rFont val="Encode Sans"/>
      </rPr>
      <t>Import new data</t>
    </r>
    <r>
      <rPr>
        <sz val="14"/>
        <color theme="0"/>
        <rFont val="Encode Sans"/>
      </rPr>
      <t xml:space="preserve"> for selected Vehicle using the form.
</t>
    </r>
    <r>
      <rPr>
        <sz val="12"/>
        <color theme="0"/>
        <rFont val="Encode Sans"/>
      </rPr>
      <t>*If there are some data already imported for the same vehicle the new data will overwrite the old information.</t>
    </r>
  </si>
  <si>
    <t>Vehicle List</t>
  </si>
  <si>
    <t>8 -</t>
  </si>
  <si>
    <t>9 -</t>
  </si>
  <si>
    <t>10 -</t>
  </si>
  <si>
    <t>11 -</t>
  </si>
  <si>
    <t>12 -</t>
  </si>
  <si>
    <t>13 -</t>
  </si>
  <si>
    <t>14 -</t>
  </si>
  <si>
    <t>15 -</t>
  </si>
  <si>
    <t>16 -</t>
  </si>
  <si>
    <t>17 -</t>
  </si>
  <si>
    <t>18 -</t>
  </si>
  <si>
    <t>19 -</t>
  </si>
  <si>
    <t>20 -</t>
  </si>
  <si>
    <r>
      <rPr>
        <b/>
        <sz val="14"/>
        <color theme="9"/>
        <rFont val="Encode Sans"/>
      </rPr>
      <t>Insert a new vehicle</t>
    </r>
    <r>
      <rPr>
        <sz val="14"/>
        <color theme="0"/>
        <rFont val="Encode Sans"/>
      </rPr>
      <t xml:space="preserve"> to the programs list control using the form.</t>
    </r>
    <r>
      <rPr>
        <sz val="12"/>
        <color theme="0"/>
        <rFont val="Encode Sans"/>
      </rPr>
      <t xml:space="preserve">
*</t>
    </r>
    <r>
      <rPr>
        <sz val="11"/>
        <color theme="0"/>
        <rFont val="Encode Sans"/>
      </rPr>
      <t>Names should have the format Project_Engine_MY_Market.
Example: F2U_1p0T3MHEV_MY27_SA</t>
    </r>
  </si>
  <si>
    <t>F2U_1p0T3MHEV_MY27_SA</t>
  </si>
  <si>
    <t>CC24_1p0T3_MY25_SA</t>
  </si>
  <si>
    <r>
      <rPr>
        <b/>
        <sz val="12"/>
        <color rgb="FFFFC000"/>
        <rFont val="Encode Sans"/>
      </rPr>
      <t>Clean vehicle data</t>
    </r>
    <r>
      <rPr>
        <sz val="12"/>
        <color theme="0"/>
        <rFont val="Encode Sans"/>
      </rPr>
      <t xml:space="preserve"> if you want to delete the data loaded for one of vehicles in the list</t>
    </r>
  </si>
  <si>
    <r>
      <rPr>
        <b/>
        <sz val="12"/>
        <color rgb="FFFF0000"/>
        <rFont val="Encode Sans"/>
      </rPr>
      <t>Clean ALL vehicle data</t>
    </r>
    <r>
      <rPr>
        <sz val="12"/>
        <color theme="0"/>
        <rFont val="Encode Sans"/>
      </rPr>
      <t xml:space="preserve"> in order to clean all the data loaded in the excel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</si>
</sst>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Encode Sans"/>
    </font>
    <font>
      <b/>
      <sz val="11"/>
      <color theme="0"/>
      <name val="Encode Sans"/>
    </font>
    <font>
      <sz val="11"/>
      <color theme="1"/>
      <name val="Encode Sans"/>
    </font>
    <font>
      <b/>
      <sz val="12"/>
      <name val="Encode Sans"/>
    </font>
    <font>
      <sz val="12"/>
      <name val="Encode Sans"/>
    </font>
    <font>
      <b/>
      <sz val="14"/>
      <color rgb="FFFF0000"/>
      <name val="Calibri"/>
      <family val="2"/>
      <scheme val="minor"/>
    </font>
    <font>
      <b/>
      <sz val="16"/>
      <color theme="1"/>
      <name val="Encode Sans"/>
    </font>
    <font>
      <b/>
      <sz val="18"/>
      <color theme="1"/>
      <name val="Encode Sans"/>
    </font>
    <font>
      <sz val="8"/>
      <name val="Calibri"/>
      <family val="2"/>
      <scheme val="minor"/>
    </font>
    <font>
      <b/>
      <sz val="14"/>
      <color theme="0"/>
      <name val="Encode Sans"/>
    </font>
    <font>
      <sz val="11"/>
      <color rgb="FF000000"/>
      <name val="Encode Sans"/>
    </font>
    <font>
      <b/>
      <sz val="11"/>
      <color rgb="FFFFFFFF"/>
      <name val="Encode Sans"/>
    </font>
    <font>
      <sz val="16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7"/>
      <name val="Calibri"/>
      <family val="2"/>
      <scheme val="minor"/>
    </font>
    <font>
      <b/>
      <sz val="11"/>
      <name val="Encode Sans"/>
    </font>
    <font>
      <sz val="14"/>
      <color theme="1"/>
      <name val="Encode Sans"/>
    </font>
    <font>
      <sz val="12"/>
      <color rgb="FFFF0000"/>
      <name val="Calibri"/>
      <family val="2"/>
      <scheme val="minor"/>
    </font>
    <font>
      <b/>
      <sz val="12"/>
      <color theme="0"/>
      <name val="Encode Sans"/>
    </font>
    <font>
      <b/>
      <sz val="20"/>
      <color rgb="FFFF0000"/>
      <name val="Calibri"/>
      <family val="2"/>
      <scheme val="minor"/>
    </font>
    <font>
      <b/>
      <sz val="9"/>
      <color rgb="FFFF0000"/>
      <name val="Encode Sans"/>
    </font>
    <font>
      <b/>
      <i/>
      <sz val="37"/>
      <color rgb="FF002060"/>
      <name val="Arial"/>
      <family val="2"/>
    </font>
    <font>
      <b/>
      <i/>
      <sz val="14"/>
      <color theme="0" tint="-0.499984740745262"/>
      <name val="Calibri"/>
      <family val="2"/>
      <scheme val="minor"/>
    </font>
    <font>
      <sz val="11"/>
      <color theme="0"/>
      <name val="Encode Sans"/>
    </font>
    <font>
      <sz val="12"/>
      <color theme="0"/>
      <name val="Encode Sans"/>
    </font>
    <font>
      <sz val="14"/>
      <color theme="0"/>
      <name val="Encode Sans"/>
    </font>
    <font>
      <b/>
      <sz val="16"/>
      <color theme="0"/>
      <name val="Encode Sans"/>
    </font>
    <font>
      <b/>
      <sz val="14"/>
      <color theme="9"/>
      <name val="Encode Sans"/>
    </font>
    <font>
      <b/>
      <sz val="12"/>
      <color rgb="FFFFC000"/>
      <name val="Encode Sans"/>
    </font>
    <font>
      <b/>
      <sz val="12"/>
      <color rgb="FFFF0000"/>
      <name val="Encode Sans"/>
    </font>
    <font>
      <sz val="11"/>
      <name val="Encode Sans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FF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4C6E7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auto="1"/>
      </top>
      <bottom style="medium">
        <color theme="0"/>
      </bottom>
      <diagonal/>
    </border>
    <border>
      <left/>
      <right style="medium">
        <color theme="0"/>
      </right>
      <top style="thin">
        <color indexed="64"/>
      </top>
      <bottom style="medium">
        <color theme="0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7" fillId="7" borderId="0" xfId="0" applyFont="1" applyFill="1" applyAlignment="1">
      <alignment horizontal="center" vertical="center"/>
    </xf>
    <xf numFmtId="0" fontId="8" fillId="0" borderId="0" xfId="0" applyFont="1"/>
    <xf numFmtId="0" fontId="5" fillId="3" borderId="2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7" borderId="14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3" borderId="16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 wrapText="1"/>
    </xf>
    <xf numFmtId="0" fontId="0" fillId="7" borderId="0" xfId="0" applyFill="1"/>
    <xf numFmtId="0" fontId="6" fillId="7" borderId="12" xfId="0" applyFont="1" applyFill="1" applyBorder="1" applyAlignment="1">
      <alignment horizontal="center" vertical="center"/>
    </xf>
    <xf numFmtId="0" fontId="2" fillId="0" borderId="1" xfId="0" applyFont="1" applyBorder="1"/>
    <xf numFmtId="0" fontId="16" fillId="7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 wrapText="1"/>
    </xf>
    <xf numFmtId="11" fontId="3" fillId="2" borderId="0" xfId="0" applyNumberFormat="1" applyFont="1" applyFill="1" applyAlignment="1">
      <alignment horizontal="center" vertical="center"/>
    </xf>
    <xf numFmtId="11" fontId="5" fillId="0" borderId="0" xfId="0" applyNumberFormat="1" applyFont="1" applyAlignment="1">
      <alignment horizontal="center" vertical="center" wrapText="1"/>
    </xf>
    <xf numFmtId="11" fontId="4" fillId="2" borderId="17" xfId="0" applyNumberFormat="1" applyFont="1" applyFill="1" applyBorder="1" applyAlignment="1">
      <alignment horizontal="center" vertical="center"/>
    </xf>
    <xf numFmtId="11" fontId="0" fillId="0" borderId="0" xfId="0" applyNumberFormat="1"/>
    <xf numFmtId="11" fontId="3" fillId="5" borderId="0" xfId="0" applyNumberFormat="1" applyFont="1" applyFill="1" applyAlignment="1">
      <alignment horizontal="center" vertical="center"/>
    </xf>
    <xf numFmtId="11" fontId="4" fillId="5" borderId="17" xfId="0" applyNumberFormat="1" applyFont="1" applyFill="1" applyBorder="1" applyAlignment="1">
      <alignment horizontal="center" vertical="center"/>
    </xf>
    <xf numFmtId="11" fontId="3" fillId="6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4" borderId="14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22" fontId="5" fillId="0" borderId="20" xfId="0" applyNumberFormat="1" applyFont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6" fillId="10" borderId="22" xfId="0" applyFont="1" applyFill="1" applyBorder="1" applyAlignment="1">
      <alignment horizontal="center" vertical="center"/>
    </xf>
    <xf numFmtId="0" fontId="14" fillId="11" borderId="23" xfId="0" applyFont="1" applyFill="1" applyBorder="1" applyAlignment="1">
      <alignment horizontal="center" vertical="center"/>
    </xf>
    <xf numFmtId="0" fontId="14" fillId="11" borderId="22" xfId="0" applyFont="1" applyFill="1" applyBorder="1" applyAlignment="1">
      <alignment horizontal="center" vertical="center"/>
    </xf>
    <xf numFmtId="0" fontId="14" fillId="11" borderId="24" xfId="0" applyFont="1" applyFill="1" applyBorder="1" applyAlignment="1">
      <alignment horizontal="center" vertical="center"/>
    </xf>
    <xf numFmtId="0" fontId="14" fillId="11" borderId="25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 wrapText="1"/>
    </xf>
    <xf numFmtId="0" fontId="4" fillId="4" borderId="27" xfId="0" applyFont="1" applyFill="1" applyBorder="1" applyAlignment="1">
      <alignment horizontal="center" vertical="center"/>
    </xf>
    <xf numFmtId="0" fontId="5" fillId="0" borderId="27" xfId="0" applyFont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/>
    </xf>
    <xf numFmtId="0" fontId="5" fillId="3" borderId="28" xfId="0" applyFont="1" applyFill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19" fillId="7" borderId="1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2" fontId="5" fillId="0" borderId="31" xfId="0" applyNumberFormat="1" applyFont="1" applyBorder="1" applyAlignment="1">
      <alignment horizontal="center" vertical="center" wrapText="1"/>
    </xf>
    <xf numFmtId="2" fontId="5" fillId="0" borderId="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1" xfId="0" applyNumberFormat="1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1" fontId="5" fillId="0" borderId="17" xfId="0" applyNumberFormat="1" applyFont="1" applyBorder="1" applyAlignment="1">
      <alignment horizontal="center" vertical="center" wrapText="1"/>
    </xf>
    <xf numFmtId="0" fontId="4" fillId="2" borderId="33" xfId="0" applyFont="1" applyFill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0" fontId="5" fillId="12" borderId="20" xfId="0" applyFont="1" applyFill="1" applyBorder="1" applyAlignment="1">
      <alignment horizontal="center" vertical="center" wrapText="1"/>
    </xf>
    <xf numFmtId="0" fontId="4" fillId="2" borderId="32" xfId="0" applyFont="1" applyFill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 wrapText="1"/>
    </xf>
    <xf numFmtId="11" fontId="5" fillId="0" borderId="19" xfId="0" applyNumberFormat="1" applyFont="1" applyBorder="1" applyAlignment="1">
      <alignment horizontal="center" vertical="center" wrapText="1"/>
    </xf>
    <xf numFmtId="11" fontId="5" fillId="0" borderId="35" xfId="0" applyNumberFormat="1" applyFont="1" applyBorder="1" applyAlignment="1">
      <alignment horizontal="center" vertical="center" wrapText="1"/>
    </xf>
    <xf numFmtId="0" fontId="7" fillId="7" borderId="3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 vertical="center"/>
    </xf>
    <xf numFmtId="0" fontId="22" fillId="8" borderId="36" xfId="0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 wrapText="1"/>
    </xf>
    <xf numFmtId="0" fontId="24" fillId="0" borderId="0" xfId="0" applyFon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2" fillId="15" borderId="36" xfId="0" applyFont="1" applyFill="1" applyBorder="1" applyAlignment="1">
      <alignment horizontal="center" vertical="center" wrapText="1"/>
    </xf>
    <xf numFmtId="0" fontId="22" fillId="6" borderId="36" xfId="0" applyFont="1" applyFill="1" applyBorder="1" applyAlignment="1">
      <alignment horizontal="center" vertical="center" wrapText="1"/>
    </xf>
    <xf numFmtId="0" fontId="22" fillId="13" borderId="36" xfId="0" applyFont="1" applyFill="1" applyBorder="1" applyAlignment="1">
      <alignment horizontal="center" vertical="center" wrapText="1"/>
    </xf>
    <xf numFmtId="0" fontId="22" fillId="14" borderId="36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0" xfId="0" applyFill="1" applyBorder="1"/>
    <xf numFmtId="0" fontId="26" fillId="0" borderId="0" xfId="0" applyFont="1" applyBorder="1" applyAlignment="1">
      <alignment horizontal="right" vertical="center"/>
    </xf>
    <xf numFmtId="0" fontId="12" fillId="8" borderId="36" xfId="0" applyFont="1" applyFill="1" applyBorder="1" applyAlignment="1">
      <alignment horizontal="center" vertical="center"/>
    </xf>
    <xf numFmtId="0" fontId="12" fillId="15" borderId="36" xfId="0" applyFont="1" applyFill="1" applyBorder="1" applyAlignment="1">
      <alignment horizontal="center" vertical="center"/>
    </xf>
    <xf numFmtId="0" fontId="12" fillId="6" borderId="36" xfId="0" applyFont="1" applyFill="1" applyBorder="1" applyAlignment="1">
      <alignment horizontal="center" vertical="center"/>
    </xf>
    <xf numFmtId="0" fontId="12" fillId="13" borderId="36" xfId="0" applyFont="1" applyFill="1" applyBorder="1" applyAlignment="1">
      <alignment horizontal="center" vertical="center"/>
    </xf>
    <xf numFmtId="0" fontId="12" fillId="14" borderId="36" xfId="0" applyFont="1" applyFill="1" applyBorder="1" applyAlignment="1">
      <alignment horizontal="center" vertical="center"/>
    </xf>
    <xf numFmtId="0" fontId="30" fillId="4" borderId="55" xfId="0" applyFont="1" applyFill="1" applyBorder="1" applyAlignment="1">
      <alignment horizontal="center" vertical="center"/>
    </xf>
    <xf numFmtId="0" fontId="30" fillId="4" borderId="56" xfId="0" applyFont="1" applyFill="1" applyBorder="1" applyAlignment="1">
      <alignment horizontal="center" vertical="center"/>
    </xf>
    <xf numFmtId="0" fontId="30" fillId="4" borderId="57" xfId="0" applyFont="1" applyFill="1" applyBorder="1" applyAlignment="1">
      <alignment horizontal="center" vertical="center"/>
    </xf>
    <xf numFmtId="0" fontId="30" fillId="4" borderId="58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0" fillId="4" borderId="51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0" fontId="29" fillId="4" borderId="50" xfId="0" applyFont="1" applyFill="1" applyBorder="1" applyAlignment="1">
      <alignment horizontal="center" vertical="center"/>
    </xf>
    <xf numFmtId="0" fontId="29" fillId="4" borderId="54" xfId="0" applyFont="1" applyFill="1" applyBorder="1" applyAlignment="1">
      <alignment horizontal="center" vertical="center"/>
    </xf>
    <xf numFmtId="0" fontId="28" fillId="4" borderId="39" xfId="0" applyFont="1" applyFill="1" applyBorder="1" applyAlignment="1">
      <alignment horizontal="left" vertical="center" wrapText="1"/>
    </xf>
    <xf numFmtId="0" fontId="28" fillId="4" borderId="40" xfId="0" applyFont="1" applyFill="1" applyBorder="1" applyAlignment="1">
      <alignment horizontal="left" vertical="center" wrapText="1"/>
    </xf>
    <xf numFmtId="0" fontId="28" fillId="4" borderId="49" xfId="0" applyFont="1" applyFill="1" applyBorder="1" applyAlignment="1">
      <alignment horizontal="left" vertical="center" wrapText="1"/>
    </xf>
    <xf numFmtId="0" fontId="28" fillId="4" borderId="42" xfId="0" applyFont="1" applyFill="1" applyBorder="1" applyAlignment="1">
      <alignment horizontal="left" vertical="center" wrapText="1"/>
    </xf>
    <xf numFmtId="0" fontId="28" fillId="4" borderId="0" xfId="0" applyFont="1" applyFill="1" applyBorder="1" applyAlignment="1">
      <alignment horizontal="left" vertical="center" wrapText="1"/>
    </xf>
    <xf numFmtId="0" fontId="28" fillId="4" borderId="51" xfId="0" applyFont="1" applyFill="1" applyBorder="1" applyAlignment="1">
      <alignment horizontal="left" vertical="center" wrapText="1"/>
    </xf>
    <xf numFmtId="0" fontId="28" fillId="4" borderId="41" xfId="0" applyFont="1" applyFill="1" applyBorder="1" applyAlignment="1">
      <alignment horizontal="left" vertical="center" wrapText="1"/>
    </xf>
    <xf numFmtId="0" fontId="28" fillId="4" borderId="37" xfId="0" applyFont="1" applyFill="1" applyBorder="1" applyAlignment="1">
      <alignment horizontal="left" vertical="center" wrapText="1"/>
    </xf>
    <xf numFmtId="0" fontId="28" fillId="4" borderId="53" xfId="0" applyFont="1" applyFill="1" applyBorder="1" applyAlignment="1">
      <alignment horizontal="left" vertical="center" wrapText="1"/>
    </xf>
    <xf numFmtId="0" fontId="29" fillId="4" borderId="52" xfId="0" applyFont="1" applyFill="1" applyBorder="1" applyAlignment="1">
      <alignment horizontal="center" vertical="center"/>
    </xf>
    <xf numFmtId="0" fontId="29" fillId="4" borderId="39" xfId="0" applyFont="1" applyFill="1" applyBorder="1" applyAlignment="1">
      <alignment horizontal="left" vertical="center" wrapText="1"/>
    </xf>
    <xf numFmtId="0" fontId="30" fillId="4" borderId="43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30" fillId="4" borderId="45" xfId="0" applyFont="1" applyFill="1" applyBorder="1" applyAlignment="1">
      <alignment horizontal="center" vertical="center"/>
    </xf>
    <xf numFmtId="0" fontId="30" fillId="4" borderId="46" xfId="0" applyFont="1" applyFill="1" applyBorder="1" applyAlignment="1">
      <alignment horizontal="center" vertical="center"/>
    </xf>
    <xf numFmtId="0" fontId="30" fillId="4" borderId="36" xfId="0" applyFont="1" applyFill="1" applyBorder="1" applyAlignment="1">
      <alignment horizontal="center" vertical="center"/>
    </xf>
    <xf numFmtId="0" fontId="30" fillId="4" borderId="47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60" xfId="0" applyFont="1" applyFill="1" applyBorder="1" applyAlignment="1">
      <alignment horizontal="center" vertical="center"/>
    </xf>
    <xf numFmtId="0" fontId="30" fillId="4" borderId="61" xfId="0" applyFont="1" applyFill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30" xfId="0" applyFont="1" applyBorder="1" applyAlignment="1">
      <alignment horizontal="right" vertical="center"/>
    </xf>
    <xf numFmtId="0" fontId="26" fillId="0" borderId="38" xfId="0" applyFont="1" applyBorder="1" applyAlignment="1">
      <alignment horizontal="right" vertical="center"/>
    </xf>
    <xf numFmtId="0" fontId="10" fillId="0" borderId="37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6" borderId="0" xfId="0" applyFont="1" applyFill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34" fillId="7" borderId="62" xfId="0" applyFont="1" applyFill="1" applyBorder="1" applyAlignment="1">
      <alignment vertical="center"/>
    </xf>
    <xf numFmtId="0" fontId="34" fillId="7" borderId="25" xfId="0" applyFont="1" applyFill="1" applyBorder="1" applyAlignment="1">
      <alignment vertical="center"/>
    </xf>
    <xf numFmtId="0" fontId="34" fillId="7" borderId="63" xfId="0" applyFont="1" applyFill="1" applyBorder="1" applyAlignment="1">
      <alignment horizontal="center" vertical="center"/>
    </xf>
    <xf numFmtId="0" fontId="34" fillId="7" borderId="64" xfId="0" applyFont="1" applyFill="1" applyBorder="1" applyAlignment="1">
      <alignment vertical="center"/>
    </xf>
    <xf numFmtId="0" fontId="34" fillId="7" borderId="65" xfId="0" applyFont="1" applyFill="1" applyBorder="1" applyAlignment="1">
      <alignment horizontal="center" vertical="center"/>
    </xf>
    <xf numFmtId="0" fontId="34" fillId="7" borderId="66" xfId="0" applyFont="1" applyFill="1" applyBorder="1" applyAlignment="1">
      <alignment vertical="center"/>
    </xf>
    <xf numFmtId="0" fontId="34" fillId="7" borderId="67" xfId="0" applyFont="1" applyFill="1" applyBorder="1" applyAlignment="1">
      <alignment vertical="center"/>
    </xf>
    <xf numFmtId="0" fontId="34" fillId="7" borderId="68" xfId="0" applyFont="1" applyFill="1" applyBorder="1" applyAlignment="1">
      <alignment vertical="center"/>
    </xf>
  </cellXfs>
  <cellStyles count="1">
    <cellStyle name="Normal" xfId="0" builtinId="0"/>
  </cellStyles>
  <dxfs count="487"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63BE7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 style="thin">
          <color indexed="64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 style="thin">
          <color indexed="64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Encode Sans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64" formatCode="0.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64" formatCode="0.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top style="thin">
          <color theme="1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15" formatCode="0.00E+00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5" formatCode="0.00E+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Encode Sans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numFmt numFmtId="164" formatCode="0.0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Encode Sa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ncode Sans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8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3BE7B"/>
      <color rgb="FFF8696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Comparison'!$BV$4:$BV$500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Comparison'!$BW$4:$BW$500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Comparison'!$CU$4:$CU$500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Comparison'!$CV$4:$CV$500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Comparison'!$DT$4:$DT$500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Comparison'!$DU$4:$DU$500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Comparison'!$ER$4:$ER$500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Comparison'!$ES$4:$ES$500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Comparison'!$BJ$4:$BJ$500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Comparison'!$BK$4:$BK$500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Comparison'!$CI$4:$CI$500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Comparison'!$CJ$4:$CJ$500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Comparison'!$DH$4:$DH$500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Comparison'!$DI$4:$DI$500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Comparison'!$EF$4:$EF$500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Comparison'!$EG$4:$EG$500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Comparison'!$BL$4:$BL$500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Comparison'!$BM$4:$BM$500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Comparison'!$CK$4:$CK$500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Comparison'!$CL$4:$CL$500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Comparison'!$DJ$4:$DJ$500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Comparison'!$DK$4:$DK$500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Comparison'!$EH$4:$EH$500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Comparison'!$EI$4:$EI$500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Comparison'!$BN$4:$BN$500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Comparison'!$BO$4:$BO$500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Comparison'!$CM$4:$CM$500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Comparison'!$CN$4:$CN$500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Comparison'!$DL$4:$DL$500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Comparison'!$DM$4:$DM$500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Comparison'!$EJ$4:$EJ$500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Comparison'!$EK$4:$EK$500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Comparison'!$BP$4:$BP$500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Comparison'!$BQ$4:$BQ$500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Comparison'!$CO$4:$CO$500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Comparison'!$CP$4:$CP$500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Comparison'!$DN$4:$DN$500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Comparison'!$DO$4:$DO$500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Comparison'!$EL$4:$EL$500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Comparison'!$EM$4:$EM$500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Comparison'!$BR$4:$BR$500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Comparison'!$BS$4:$BS$500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Comparison'!$CQ$4:$CQ$500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Comparison'!$CR$4:$CR$500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Comparison'!$DP$4:$DP$500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Comparison'!$DQ$4:$DQ$500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Comparison'!$EN$4:$EN$500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Comparison'!$EO$4:$EO$500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779162300549813E-2"/>
          <c:y val="2.7957294610922827E-2"/>
          <c:w val="0.94262291987471492"/>
          <c:h val="0.944085410778154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'Splines Comparison'!$B$6</c:f>
              <c:strCache>
                <c:ptCount val="1"/>
                <c:pt idx="0">
                  <c:v>F2U_1p0T3MHEV_MY27_SA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Comparison'!$BT$4:$BT$500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Comparison'!$BU$4:$BU$500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A9-468E-B29F-F3CC6CAD1503}"/>
            </c:ext>
          </c:extLst>
        </c:ser>
        <c:ser>
          <c:idx val="1"/>
          <c:order val="1"/>
          <c:tx>
            <c:strRef>
              <c:f>'Splines Comparison'!$B$7</c:f>
              <c:strCache>
                <c:ptCount val="1"/>
                <c:pt idx="0">
                  <c:v>CC24_1p0T3_MY25_SA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Comparison'!$CS$4:$CS$500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Comparison'!$CT$4:$CT$500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A9-468E-B29F-F3CC6CAD1503}"/>
            </c:ext>
          </c:extLst>
        </c:ser>
        <c:ser>
          <c:idx val="2"/>
          <c:order val="2"/>
          <c:tx>
            <c:strRef>
              <c:f>'Splines Comparison'!$B$8</c:f>
              <c:strCache>
                <c:ptCount val="1"/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Comparison'!$DR$4:$DR$500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Comparison'!$DS$4:$DS$500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97-4B17-8789-8B9152303B20}"/>
            </c:ext>
          </c:extLst>
        </c:ser>
        <c:ser>
          <c:idx val="3"/>
          <c:order val="3"/>
          <c:tx>
            <c:strRef>
              <c:f>'Splines Comparison'!$B$9</c:f>
              <c:strCache>
                <c:ptCount val="1"/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'Splines Comparison'!$EP$4:$EP$500</c:f>
              <c:numCache>
                <c:formatCode>General</c:formatCode>
                <c:ptCount val="497"/>
              </c:numCache>
            </c:numRef>
          </c:xVal>
          <c:yVal>
            <c:numRef>
              <c:f>'Splines Comparison'!$EQ$4:$EQ$500</c:f>
              <c:numCache>
                <c:formatCode>General</c:formatCode>
                <c:ptCount val="4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97-4B17-8789-8B9152303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627648"/>
        <c:axId val="1012628728"/>
      </c:scatterChart>
      <c:valAx>
        <c:axId val="10126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8728"/>
        <c:crosses val="autoZero"/>
        <c:crossBetween val="midCat"/>
      </c:valAx>
      <c:valAx>
        <c:axId val="101262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262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152586</xdr:colOff>
      <xdr:row>8</xdr:row>
      <xdr:rowOff>116413</xdr:rowOff>
    </xdr:from>
    <xdr:to>
      <xdr:col>15</xdr:col>
      <xdr:colOff>369486</xdr:colOff>
      <xdr:row>12</xdr:row>
      <xdr:rowOff>60126</xdr:rowOff>
    </xdr:to>
    <xdr:sp macro="[0]!MostrarInsertVehicle" textlink="">
      <xdr:nvSpPr>
        <xdr:cNvPr id="2" name="Retângulo 1">
          <a:extLst>
            <a:ext uri="{FF2B5EF4-FFF2-40B4-BE49-F238E27FC236}">
              <a16:creationId xmlns:a16="http://schemas.microsoft.com/office/drawing/2014/main" id="{2C694410-047B-B83C-082F-1B39FF740191}"/>
            </a:ext>
          </a:extLst>
        </xdr:cNvPr>
        <xdr:cNvSpPr/>
      </xdr:nvSpPr>
      <xdr:spPr>
        <a:xfrm>
          <a:off x="7939274" y="1883301"/>
          <a:ext cx="2160000" cy="7200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INSERT</a:t>
          </a:r>
          <a:r>
            <a:rPr lang="pt-BR" sz="1400" b="1" baseline="0">
              <a:latin typeface="Encode Sans" pitchFamily="2" charset="0"/>
            </a:rPr>
            <a:t> NEW VEHICLE</a:t>
          </a:r>
        </a:p>
      </xdr:txBody>
    </xdr:sp>
    <xdr:clientData/>
  </xdr:twoCellAnchor>
  <xdr:twoCellAnchor editAs="oneCell">
    <xdr:from>
      <xdr:col>0</xdr:col>
      <xdr:colOff>67236</xdr:colOff>
      <xdr:row>0</xdr:row>
      <xdr:rowOff>39221</xdr:rowOff>
    </xdr:from>
    <xdr:to>
      <xdr:col>3</xdr:col>
      <xdr:colOff>467464</xdr:colOff>
      <xdr:row>1</xdr:row>
      <xdr:rowOff>155619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95CE7EC-44C3-4B95-8227-4D94D284E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39221"/>
          <a:ext cx="2350052" cy="609457"/>
        </a:xfrm>
        <a:prstGeom prst="rect">
          <a:avLst/>
        </a:prstGeom>
      </xdr:spPr>
    </xdr:pic>
    <xdr:clientData/>
  </xdr:twoCellAnchor>
  <xdr:twoCellAnchor>
    <xdr:from>
      <xdr:col>12</xdr:col>
      <xdr:colOff>152586</xdr:colOff>
      <xdr:row>13</xdr:row>
      <xdr:rowOff>64026</xdr:rowOff>
    </xdr:from>
    <xdr:to>
      <xdr:col>15</xdr:col>
      <xdr:colOff>369486</xdr:colOff>
      <xdr:row>17</xdr:row>
      <xdr:rowOff>60126</xdr:rowOff>
    </xdr:to>
    <xdr:sp macro="[0]!MostrarInsertData" textlink="">
      <xdr:nvSpPr>
        <xdr:cNvPr id="8" name="Retângulo 7">
          <a:extLst>
            <a:ext uri="{FF2B5EF4-FFF2-40B4-BE49-F238E27FC236}">
              <a16:creationId xmlns:a16="http://schemas.microsoft.com/office/drawing/2014/main" id="{B8B0BD55-83E0-683F-353E-421A379C88FF}"/>
            </a:ext>
          </a:extLst>
        </xdr:cNvPr>
        <xdr:cNvSpPr/>
      </xdr:nvSpPr>
      <xdr:spPr>
        <a:xfrm>
          <a:off x="7939274" y="2788176"/>
          <a:ext cx="2160000" cy="7200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IMPORT</a:t>
          </a:r>
          <a:r>
            <a:rPr lang="pt-BR" sz="1400" b="1" baseline="0">
              <a:latin typeface="Encode Sans" pitchFamily="2" charset="0"/>
            </a:rPr>
            <a:t> NEW DATA</a:t>
          </a:r>
        </a:p>
      </xdr:txBody>
    </xdr:sp>
    <xdr:clientData/>
  </xdr:twoCellAnchor>
  <xdr:twoCellAnchor>
    <xdr:from>
      <xdr:col>12</xdr:col>
      <xdr:colOff>152586</xdr:colOff>
      <xdr:row>18</xdr:row>
      <xdr:rowOff>92601</xdr:rowOff>
    </xdr:from>
    <xdr:to>
      <xdr:col>15</xdr:col>
      <xdr:colOff>369486</xdr:colOff>
      <xdr:row>22</xdr:row>
      <xdr:rowOff>88701</xdr:rowOff>
    </xdr:to>
    <xdr:sp macro="[0]!MostrarExcludeData" textlink="">
      <xdr:nvSpPr>
        <xdr:cNvPr id="9" name="Retângulo 8">
          <a:extLst>
            <a:ext uri="{FF2B5EF4-FFF2-40B4-BE49-F238E27FC236}">
              <a16:creationId xmlns:a16="http://schemas.microsoft.com/office/drawing/2014/main" id="{C101FC6A-1B70-EC90-D761-720B806B4383}"/>
            </a:ext>
          </a:extLst>
        </xdr:cNvPr>
        <xdr:cNvSpPr/>
      </xdr:nvSpPr>
      <xdr:spPr>
        <a:xfrm>
          <a:off x="7939274" y="3721626"/>
          <a:ext cx="2160000" cy="720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CLEAN</a:t>
          </a:r>
          <a:r>
            <a:rPr lang="pt-BR" sz="1400" b="1" baseline="0">
              <a:latin typeface="Encode Sans" pitchFamily="2" charset="0"/>
            </a:rPr>
            <a:t> VEHICLE DATA</a:t>
          </a:r>
        </a:p>
      </xdr:txBody>
    </xdr:sp>
    <xdr:clientData/>
  </xdr:twoCellAnchor>
  <xdr:twoCellAnchor>
    <xdr:from>
      <xdr:col>12</xdr:col>
      <xdr:colOff>147824</xdr:colOff>
      <xdr:row>23</xdr:row>
      <xdr:rowOff>121176</xdr:rowOff>
    </xdr:from>
    <xdr:to>
      <xdr:col>15</xdr:col>
      <xdr:colOff>364724</xdr:colOff>
      <xdr:row>27</xdr:row>
      <xdr:rowOff>117276</xdr:rowOff>
    </xdr:to>
    <xdr:sp macro="[0]!ClearAllPrograms" textlink="">
      <xdr:nvSpPr>
        <xdr:cNvPr id="10" name="Retângulo 9">
          <a:extLst>
            <a:ext uri="{FF2B5EF4-FFF2-40B4-BE49-F238E27FC236}">
              <a16:creationId xmlns:a16="http://schemas.microsoft.com/office/drawing/2014/main" id="{AEEC8B89-97D6-2012-E112-B6F05162A027}"/>
            </a:ext>
          </a:extLst>
        </xdr:cNvPr>
        <xdr:cNvSpPr/>
      </xdr:nvSpPr>
      <xdr:spPr>
        <a:xfrm>
          <a:off x="7934512" y="4655076"/>
          <a:ext cx="2160000" cy="720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CLEAN ALL</a:t>
          </a:r>
        </a:p>
        <a:p>
          <a:pPr algn="ctr"/>
          <a:r>
            <a:rPr lang="pt-BR" sz="1400" b="1" baseline="0">
              <a:latin typeface="Encode Sans" pitchFamily="2" charset="0"/>
            </a:rPr>
            <a:t>VEHICLE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182966</xdr:colOff>
      <xdr:row>4</xdr:row>
      <xdr:rowOff>0</xdr:rowOff>
    </xdr:from>
    <xdr:to>
      <xdr:col>1</xdr:col>
      <xdr:colOff>1023331</xdr:colOff>
      <xdr:row>6</xdr:row>
      <xdr:rowOff>182014</xdr:rowOff>
    </xdr:to>
    <xdr:sp macro="[0]!CompareHPProjec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93317A7-FF76-0304-4378-6BD19C2B4D25}"/>
            </a:ext>
          </a:extLst>
        </xdr:cNvPr>
        <xdr:cNvSpPr/>
      </xdr:nvSpPr>
      <xdr:spPr>
        <a:xfrm>
          <a:off x="182966" y="1357745"/>
          <a:ext cx="2295092" cy="81932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COMPARISON</a:t>
          </a:r>
          <a:r>
            <a:rPr lang="pt-BR" sz="1400" b="1" baseline="0">
              <a:latin typeface="Encode Sans" pitchFamily="2" charset="0"/>
            </a:rPr>
            <a:t> BUTTON</a:t>
          </a:r>
          <a:endParaRPr lang="pt-BR" sz="1400" b="1">
            <a:latin typeface="Encode Sans" pitchFamily="2" charset="0"/>
          </a:endParaRPr>
        </a:p>
      </xdr:txBody>
    </xdr:sp>
    <xdr:clientData/>
  </xdr:twoCellAnchor>
  <xdr:twoCellAnchor>
    <xdr:from>
      <xdr:col>0</xdr:col>
      <xdr:colOff>189770</xdr:colOff>
      <xdr:row>6</xdr:row>
      <xdr:rowOff>265340</xdr:rowOff>
    </xdr:from>
    <xdr:to>
      <xdr:col>0</xdr:col>
      <xdr:colOff>1269770</xdr:colOff>
      <xdr:row>8</xdr:row>
      <xdr:rowOff>165804</xdr:rowOff>
    </xdr:to>
    <xdr:sp macro="[0]!ClearDestinationCellsHP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EDA8299-2E90-5868-E2EB-D2E67862E456}"/>
            </a:ext>
          </a:extLst>
        </xdr:cNvPr>
        <xdr:cNvSpPr/>
      </xdr:nvSpPr>
      <xdr:spPr>
        <a:xfrm>
          <a:off x="189770" y="2272394"/>
          <a:ext cx="1080000" cy="5400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CLEAN</a:t>
          </a:r>
          <a:r>
            <a:rPr lang="pt-BR" sz="1400" b="1" baseline="0">
              <a:latin typeface="Encode Sans" pitchFamily="2" charset="0"/>
            </a:rPr>
            <a:t> </a:t>
          </a:r>
          <a:endParaRPr lang="pt-BR" sz="1400" b="1">
            <a:latin typeface="Encode Sans" pitchFamily="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180109</xdr:colOff>
      <xdr:row>4</xdr:row>
      <xdr:rowOff>0</xdr:rowOff>
    </xdr:from>
    <xdr:to>
      <xdr:col>1</xdr:col>
      <xdr:colOff>1022379</xdr:colOff>
      <xdr:row>6</xdr:row>
      <xdr:rowOff>180108</xdr:rowOff>
    </xdr:to>
    <xdr:sp macro="[0]!CompareMassPropertie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ECD2667-28A6-41AE-8497-0FCC4FE733B4}"/>
            </a:ext>
          </a:extLst>
        </xdr:cNvPr>
        <xdr:cNvSpPr/>
      </xdr:nvSpPr>
      <xdr:spPr>
        <a:xfrm>
          <a:off x="180109" y="1357745"/>
          <a:ext cx="2241579" cy="8174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COMPARISON</a:t>
          </a:r>
          <a:r>
            <a:rPr lang="pt-BR" sz="1400" b="1" baseline="0">
              <a:latin typeface="Encode Sans" pitchFamily="2" charset="0"/>
            </a:rPr>
            <a:t> BUTTON</a:t>
          </a:r>
          <a:endParaRPr lang="pt-BR" sz="1400" b="1">
            <a:latin typeface="Encode Sans" pitchFamily="2" charset="0"/>
          </a:endParaRPr>
        </a:p>
      </xdr:txBody>
    </xdr:sp>
    <xdr:clientData/>
  </xdr:twoCellAnchor>
  <xdr:twoCellAnchor>
    <xdr:from>
      <xdr:col>0</xdr:col>
      <xdr:colOff>176894</xdr:colOff>
      <xdr:row>6</xdr:row>
      <xdr:rowOff>238126</xdr:rowOff>
    </xdr:from>
    <xdr:to>
      <xdr:col>0</xdr:col>
      <xdr:colOff>1256894</xdr:colOff>
      <xdr:row>8</xdr:row>
      <xdr:rowOff>138590</xdr:rowOff>
    </xdr:to>
    <xdr:sp macro="[0]!ClearDestinationCellsMas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CD220F-CEDC-41F8-840F-82FA79787B5C}"/>
            </a:ext>
          </a:extLst>
        </xdr:cNvPr>
        <xdr:cNvSpPr/>
      </xdr:nvSpPr>
      <xdr:spPr>
        <a:xfrm>
          <a:off x="176894" y="2245180"/>
          <a:ext cx="1080000" cy="5400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CLEAN</a:t>
          </a:r>
          <a:r>
            <a:rPr lang="pt-BR" sz="1400" b="1" baseline="0">
              <a:latin typeface="Encode Sans" pitchFamily="2" charset="0"/>
            </a:rPr>
            <a:t> </a:t>
          </a:r>
          <a:endParaRPr lang="pt-BR" sz="1400" b="1">
            <a:latin typeface="Encode Sans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180109</xdr:colOff>
      <xdr:row>4</xdr:row>
      <xdr:rowOff>0</xdr:rowOff>
    </xdr:from>
    <xdr:to>
      <xdr:col>1</xdr:col>
      <xdr:colOff>1022379</xdr:colOff>
      <xdr:row>6</xdr:row>
      <xdr:rowOff>180108</xdr:rowOff>
    </xdr:to>
    <xdr:sp macro="[0]!ComparePropertyFil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05F623D-E71F-425D-9A43-862652FC72F9}"/>
            </a:ext>
          </a:extLst>
        </xdr:cNvPr>
        <xdr:cNvSpPr/>
      </xdr:nvSpPr>
      <xdr:spPr>
        <a:xfrm>
          <a:off x="178204" y="1371600"/>
          <a:ext cx="2242445" cy="82590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COMPARISON</a:t>
          </a:r>
          <a:r>
            <a:rPr lang="pt-BR" sz="1400" b="1" baseline="0">
              <a:latin typeface="Encode Sans" pitchFamily="2" charset="0"/>
            </a:rPr>
            <a:t> BUTTON</a:t>
          </a:r>
          <a:endParaRPr lang="pt-BR" sz="1400" b="1">
            <a:latin typeface="Encode Sans" pitchFamily="2" charset="0"/>
          </a:endParaRPr>
        </a:p>
      </xdr:txBody>
    </xdr:sp>
    <xdr:clientData/>
  </xdr:twoCellAnchor>
  <xdr:twoCellAnchor>
    <xdr:from>
      <xdr:col>0</xdr:col>
      <xdr:colOff>150813</xdr:colOff>
      <xdr:row>6</xdr:row>
      <xdr:rowOff>269875</xdr:rowOff>
    </xdr:from>
    <xdr:to>
      <xdr:col>0</xdr:col>
      <xdr:colOff>1230813</xdr:colOff>
      <xdr:row>8</xdr:row>
      <xdr:rowOff>174875</xdr:rowOff>
    </xdr:to>
    <xdr:sp macro="[0]!ClearDestinationCellsProperty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31F6AA9-7CB6-4FE5-AB54-19124117476B}"/>
            </a:ext>
          </a:extLst>
        </xdr:cNvPr>
        <xdr:cNvSpPr/>
      </xdr:nvSpPr>
      <xdr:spPr>
        <a:xfrm>
          <a:off x="150813" y="2262188"/>
          <a:ext cx="1080000" cy="5400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CLEAN</a:t>
          </a:r>
          <a:r>
            <a:rPr lang="pt-BR" sz="1400" b="1" baseline="0">
              <a:latin typeface="Encode Sans" pitchFamily="2" charset="0"/>
            </a:rPr>
            <a:t> </a:t>
          </a:r>
          <a:endParaRPr lang="pt-BR" sz="1400" b="1">
            <a:latin typeface="Encode Sans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461094</xdr:colOff>
      <xdr:row>3</xdr:row>
      <xdr:rowOff>61697</xdr:rowOff>
    </xdr:from>
    <xdr:to>
      <xdr:col>13</xdr:col>
      <xdr:colOff>9587</xdr:colOff>
      <xdr:row>16</xdr:row>
      <xdr:rowOff>343134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E9B5A4-10A9-8F6A-EEC0-387C05D80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121225</xdr:colOff>
      <xdr:row>1</xdr:row>
      <xdr:rowOff>1</xdr:rowOff>
    </xdr:from>
    <xdr:to>
      <xdr:col>13</xdr:col>
      <xdr:colOff>389658</xdr:colOff>
      <xdr:row>17</xdr:row>
      <xdr:rowOff>25979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1FBB10A-CE25-F50D-483C-090207B33D46}"/>
            </a:ext>
          </a:extLst>
        </xdr:cNvPr>
        <xdr:cNvSpPr/>
      </xdr:nvSpPr>
      <xdr:spPr>
        <a:xfrm>
          <a:off x="4574163" y="178596"/>
          <a:ext cx="7340745" cy="6502978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554181</xdr:colOff>
      <xdr:row>1</xdr:row>
      <xdr:rowOff>0</xdr:rowOff>
    </xdr:from>
    <xdr:to>
      <xdr:col>46</xdr:col>
      <xdr:colOff>8657</xdr:colOff>
      <xdr:row>33</xdr:row>
      <xdr:rowOff>95248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425376A-7AC6-D9ED-E03C-88B0EE3947F4}"/>
            </a:ext>
          </a:extLst>
        </xdr:cNvPr>
        <xdr:cNvSpPr/>
      </xdr:nvSpPr>
      <xdr:spPr>
        <a:xfrm>
          <a:off x="12136581" y="180976"/>
          <a:ext cx="20828576" cy="13201648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813954</xdr:colOff>
      <xdr:row>9</xdr:row>
      <xdr:rowOff>389660</xdr:rowOff>
    </xdr:from>
    <xdr:to>
      <xdr:col>1</xdr:col>
      <xdr:colOff>668469</xdr:colOff>
      <xdr:row>11</xdr:row>
      <xdr:rowOff>395348</xdr:rowOff>
    </xdr:to>
    <xdr:sp macro="[0]!CompareSpline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7432AAA7-933D-4865-8141-736B960636BF}"/>
            </a:ext>
          </a:extLst>
        </xdr:cNvPr>
        <xdr:cNvSpPr/>
      </xdr:nvSpPr>
      <xdr:spPr>
        <a:xfrm>
          <a:off x="813954" y="3827320"/>
          <a:ext cx="2305039" cy="81964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COMPARISON</a:t>
          </a:r>
          <a:r>
            <a:rPr lang="pt-BR" sz="1400" b="1" baseline="0">
              <a:latin typeface="Encode Sans" pitchFamily="2" charset="0"/>
            </a:rPr>
            <a:t> BUTTON</a:t>
          </a:r>
          <a:endParaRPr lang="pt-BR" sz="1400" b="1">
            <a:latin typeface="Encode Sans" pitchFamily="2" charset="0"/>
          </a:endParaRPr>
        </a:p>
      </xdr:txBody>
    </xdr:sp>
    <xdr:clientData/>
  </xdr:twoCellAnchor>
  <xdr:twoCellAnchor>
    <xdr:from>
      <xdr:col>14</xdr:col>
      <xdr:colOff>56280</xdr:colOff>
      <xdr:row>19</xdr:row>
      <xdr:rowOff>85509</xdr:rowOff>
    </xdr:from>
    <xdr:to>
      <xdr:col>24</xdr:col>
      <xdr:colOff>214905</xdr:colOff>
      <xdr:row>32</xdr:row>
      <xdr:rowOff>374146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09C8509-8959-EF94-8C03-C7E0A8BC9D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532529</xdr:colOff>
      <xdr:row>19</xdr:row>
      <xdr:rowOff>85509</xdr:rowOff>
    </xdr:from>
    <xdr:to>
      <xdr:col>35</xdr:col>
      <xdr:colOff>48216</xdr:colOff>
      <xdr:row>32</xdr:row>
      <xdr:rowOff>374146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508E585-57A8-6234-3F8F-0FFBDCB78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365840</xdr:colOff>
      <xdr:row>19</xdr:row>
      <xdr:rowOff>85509</xdr:rowOff>
    </xdr:from>
    <xdr:to>
      <xdr:col>45</xdr:col>
      <xdr:colOff>524465</xdr:colOff>
      <xdr:row>32</xdr:row>
      <xdr:rowOff>374146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01AB90-9F40-8877-734F-7B22078B1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20562</xdr:colOff>
      <xdr:row>3</xdr:row>
      <xdr:rowOff>216477</xdr:rowOff>
    </xdr:from>
    <xdr:to>
      <xdr:col>24</xdr:col>
      <xdr:colOff>179187</xdr:colOff>
      <xdr:row>17</xdr:row>
      <xdr:rowOff>100302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9CCC92B5-9D6A-7E64-970C-C57271F74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389656</xdr:colOff>
      <xdr:row>3</xdr:row>
      <xdr:rowOff>204570</xdr:rowOff>
    </xdr:from>
    <xdr:to>
      <xdr:col>34</xdr:col>
      <xdr:colOff>548281</xdr:colOff>
      <xdr:row>17</xdr:row>
      <xdr:rowOff>88395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1BA0720-E6CD-C037-EE70-794677127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332391</xdr:colOff>
      <xdr:row>3</xdr:row>
      <xdr:rowOff>240288</xdr:rowOff>
    </xdr:from>
    <xdr:to>
      <xdr:col>45</xdr:col>
      <xdr:colOff>491016</xdr:colOff>
      <xdr:row>17</xdr:row>
      <xdr:rowOff>124113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63DE2CD-94F6-CE10-B788-288AB40E3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828675</xdr:colOff>
      <xdr:row>12</xdr:row>
      <xdr:rowOff>104775</xdr:rowOff>
    </xdr:from>
    <xdr:to>
      <xdr:col>0</xdr:col>
      <xdr:colOff>1908675</xdr:colOff>
      <xdr:row>13</xdr:row>
      <xdr:rowOff>235199</xdr:rowOff>
    </xdr:to>
    <xdr:sp macro="[0]!ClearSpline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9C7F79B-B786-402F-B0EF-D9D3E707EC75}"/>
            </a:ext>
          </a:extLst>
        </xdr:cNvPr>
        <xdr:cNvSpPr/>
      </xdr:nvSpPr>
      <xdr:spPr>
        <a:xfrm>
          <a:off x="828675" y="4791075"/>
          <a:ext cx="1080000" cy="5400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Encode Sans" pitchFamily="2" charset="0"/>
            </a:rPr>
            <a:t>CLEAN</a:t>
          </a:r>
          <a:r>
            <a:rPr lang="pt-BR" sz="1400" b="1" baseline="0">
              <a:latin typeface="Encode Sans" pitchFamily="2" charset="0"/>
            </a:rPr>
            <a:t> </a:t>
          </a:r>
          <a:endParaRPr lang="pt-BR" sz="1400" b="1">
            <a:latin typeface="Encode Sans" pitchFamily="2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1E23FE-60E2-4F53-B171-3F241373F7E1}" name="Tabela1" displayName="Tabela1" ref="A1:U16" totalsRowShown="0" headerRowDxfId="486" dataDxfId="485">
  <tableColumns count="21">
    <tableColumn id="1" xr3:uid="{D2751BCA-7B0E-4966-8DF2-568160A5ABF5}" name="MBSHARC MODEL" dataDxfId="484">
      <calculatedColumnFormula>Listas!#REF!</calculatedColumnFormula>
    </tableColumn>
    <tableColumn id="2" xr3:uid="{2E64C1B4-2BC5-4E6C-B838-857EA3AF16D2}" name="F2U_1p0T3MHEV_MY27_SA" dataDxfId="74">
      <calculatedColumnFormula>IFERROR(INDEX(CDB!$A$1:$ZB$18,MATCH($A2,CDB!$A:$A,0),MATCH(Tabela1[[#Headers],[F2U_1p0T3MHEV_MY27_SA]],CDB!$1:$1,0)),"NO DATA AVAILABLE")</calculatedColumnFormula>
    </tableColumn>
    <tableColumn id="4" xr3:uid="{CDC9D665-32A2-41C7-9DD4-0207F57040A0}" name="CC24_1p0T3_MY25_SA" dataDxfId="483">
      <calculatedColumnFormula>IFERROR(INDEX(CDB!$A$1:$ZB$18,MATCH($A2,CDB!$A:$A,0),MATCH(Tabela1[[#Headers],[CC24_1p0T3_MY25_SA]],CDB!$1:$1,0)),"NO DATA AVAILABLE")</calculatedColumnFormula>
    </tableColumn>
    <tableColumn id="5" xr3:uid="{40DAFC38-B59D-497E-824B-61D547A1C063}" name="Coluna3" dataDxfId="482">
      <calculatedColumnFormula>IFERROR(INDEX(CDB!$A$1:$ZB$18,MATCH($A2,CDB!$A:$A,0),MATCH(Tabela1[[#Headers],[Coluna3]],CDB!$1:$1,0)),"NO DATA AVAILABLE")</calculatedColumnFormula>
    </tableColumn>
    <tableColumn id="6" xr3:uid="{0010E7CC-D14F-498B-BEF6-33C4FAD3FF2F}" name="Coluna4" dataDxfId="481">
      <calculatedColumnFormula>IFERROR(INDEX(CDB!$A$1:$ZB$18,MATCH($A2,CDB!$A:$A,0),MATCH(Tabela1[[#Headers],[Coluna4]],CDB!$1:$1,0)),"NO DATA AVAILABLE")</calculatedColumnFormula>
    </tableColumn>
    <tableColumn id="7" xr3:uid="{FF208E7D-DC08-468A-9EC4-0A97EFCA0789}" name="Coluna5" dataDxfId="480">
      <calculatedColumnFormula>IFERROR(INDEX(CDB!$A$1:$ZB$18,MATCH($A2,CDB!$A:$A,0),MATCH(Tabela1[[#Headers],[Coluna5]],CDB!$1:$1,0)),"NO DATA AVAILABLE")</calculatedColumnFormula>
    </tableColumn>
    <tableColumn id="8" xr3:uid="{7B229B94-FA61-4F07-B0B1-9810954132FC}" name="Coluna6" dataDxfId="479">
      <calculatedColumnFormula>IFERROR(INDEX(CDB!$A$1:$ZB$18,MATCH($A2,CDB!$A:$A,0),MATCH(Tabela1[[#Headers],[Coluna6]],CDB!$1:$1,0)),"NO DATA AVAILABLE")</calculatedColumnFormula>
    </tableColumn>
    <tableColumn id="9" xr3:uid="{02FD6C2A-3E37-489F-93D0-C08DF3D48045}" name="Coluna7" dataDxfId="478">
      <calculatedColumnFormula>IFERROR(INDEX(CDB!$A$1:$ZB$18,MATCH($A2,CDB!$A:$A,0),MATCH(Tabela1[[#Headers],[Coluna7]],CDB!$1:$1,0)),"NO DATA AVAILABLE")</calculatedColumnFormula>
    </tableColumn>
    <tableColumn id="10" xr3:uid="{CE212940-4047-4AE7-A26F-160C606E9120}" name="Coluna8" dataDxfId="477">
      <calculatedColumnFormula>IFERROR(INDEX(CDB!$A$1:$ZB$18,MATCH($A2,CDB!$A:$A,0),MATCH(Tabela1[[#Headers],[Coluna8]],CDB!$1:$1,0)),"NO DATA AVAILABLE")</calculatedColumnFormula>
    </tableColumn>
    <tableColumn id="11" xr3:uid="{D14138FE-FA83-43B0-90A3-994758F4795B}" name="Coluna9" dataDxfId="476">
      <calculatedColumnFormula>IFERROR(INDEX(CDB!$A$1:$ZB$18,MATCH($A2,CDB!$A:$A,0),MATCH(Tabela1[[#Headers],[Coluna9]],CDB!$1:$1,0)),"NO DATA AVAILABLE")</calculatedColumnFormula>
    </tableColumn>
    <tableColumn id="12" xr3:uid="{69FA502B-346B-4BC6-A68D-8F4E0D22351F}" name="Coluna10" dataDxfId="475">
      <calculatedColumnFormula>IFERROR(INDEX(CDB!$A$1:$ZB$18,MATCH($A2,CDB!$A:$A,0),MATCH(Tabela1[[#Headers],[Coluna10]],CDB!$1:$1,0)),"NO DATA AVAILABLE")</calculatedColumnFormula>
    </tableColumn>
    <tableColumn id="13" xr3:uid="{CCD189C1-A433-476F-9597-ED297B590360}" name="Coluna11" dataDxfId="474">
      <calculatedColumnFormula>IFERROR(INDEX(CDB!$A$1:$ZB$18,MATCH($A2,CDB!$A:$A,0),MATCH(Tabela1[[#Headers],[Coluna11]],CDB!$1:$1,0)),"NO DATA AVAILABLE")</calculatedColumnFormula>
    </tableColumn>
    <tableColumn id="14" xr3:uid="{C0286C83-5304-4E4A-959A-089EAE27BF63}" name="Coluna12" dataDxfId="473">
      <calculatedColumnFormula>IFERROR(INDEX(CDB!$A$1:$ZB$18,MATCH($A2,CDB!$A:$A,0),MATCH(Tabela1[[#Headers],[Coluna12]],CDB!$1:$1,0)),"NO DATA AVAILABLE")</calculatedColumnFormula>
    </tableColumn>
    <tableColumn id="15" xr3:uid="{7AB305A6-CC59-45C4-8983-1A8929283005}" name="Coluna13" dataDxfId="472">
      <calculatedColumnFormula>IFERROR(INDEX(CDB!$A$1:$ZB$18,MATCH($A2,CDB!$A:$A,0),MATCH(Tabela1[[#Headers],[Coluna13]],CDB!$1:$1,0)),"NO DATA AVAILABLE")</calculatedColumnFormula>
    </tableColumn>
    <tableColumn id="16" xr3:uid="{468B547A-C760-4C87-BC96-5F90582555AE}" name="Coluna14" dataDxfId="471">
      <calculatedColumnFormula>IFERROR(INDEX(CDB!$A$1:$ZB$18,MATCH($A2,CDB!$A:$A,0),MATCH(Tabela1[[#Headers],[Coluna14]],CDB!$1:$1,0)),"NO DATA AVAILABLE")</calculatedColumnFormula>
    </tableColumn>
    <tableColumn id="17" xr3:uid="{F437B206-E407-43DA-A7AF-0B7B6C422BF3}" name="Coluna15" dataDxfId="470">
      <calculatedColumnFormula>IFERROR(INDEX(CDB!$A$1:$ZB$18,MATCH($A2,CDB!$A:$A,0),MATCH(Tabela1[[#Headers],[Coluna15]],CDB!$1:$1,0)),"NO DATA AVAILABLE")</calculatedColumnFormula>
    </tableColumn>
    <tableColumn id="18" xr3:uid="{5961F285-5718-4764-A4A0-9DC08EABFB56}" name="Coluna16" dataDxfId="469">
      <calculatedColumnFormula>IFERROR(INDEX(CDB!$A$1:$ZB$18,MATCH($A2,CDB!$A:$A,0),MATCH(Tabela1[[#Headers],[Coluna16]],CDB!$1:$1,0)),"NO DATA AVAILABLE")</calculatedColumnFormula>
    </tableColumn>
    <tableColumn id="19" xr3:uid="{F9121D35-B9AA-424A-9830-B2D66E5CFE70}" name="Coluna17" dataDxfId="468">
      <calculatedColumnFormula>IFERROR(INDEX(CDB!$A$1:$ZB$18,MATCH($A2,CDB!$A:$A,0),MATCH(Tabela1[[#Headers],[Coluna17]],CDB!$1:$1,0)),"NO DATA AVAILABLE")</calculatedColumnFormula>
    </tableColumn>
    <tableColumn id="20" xr3:uid="{86A50D23-3878-4A5B-92EA-B47F1BAB3FB7}" name="Coluna18" dataDxfId="467">
      <calculatedColumnFormula>IFERROR(INDEX(CDB!$A$1:$ZB$18,MATCH($A2,CDB!$A:$A,0),MATCH(Tabela1[[#Headers],[Coluna18]],CDB!$1:$1,0)),"NO DATA AVAILABLE")</calculatedColumnFormula>
    </tableColumn>
    <tableColumn id="21" xr3:uid="{85E3067C-9DE9-4ADA-AF6F-510D44568BAE}" name="Coluna19" dataDxfId="466">
      <calculatedColumnFormula>IFERROR(INDEX(CDB!$A$1:$ZB$18,MATCH($A2,CDB!$A:$A,0),MATCH(Tabela1[[#Headers],[Coluna19]],CDB!$1:$1,0)),"NO DATA AVAILABLE")</calculatedColumnFormula>
    </tableColumn>
    <tableColumn id="22" xr3:uid="{8F0C02EC-4C18-4B8F-AC9D-8C51E4397CBF}" name="Coluna20" dataDxfId="465">
      <calculatedColumnFormula>IFERROR(INDEX(CDB!$A$1:$ZB$18,MATCH($A2,CDB!$A:$A,0),MATCH(Tabela1[[#Headers],[Coluna20]],CDB!$1:$1,0)),"NO DATA AVAILABLE")</calculatedColumnFormula>
    </tableColumn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2512A-2017-4F2D-8C13-E1E70B36789F}" name="Tabela13" displayName="Tabela13" ref="D1:O19" totalsRowShown="0" headerRowDxfId="464" dataDxfId="463">
  <tableColumns count="12">
    <tableColumn id="1" xr3:uid="{833131B1-BD8A-4937-BBDB-13B03FF91E6C}" name="Front Suspension HP" dataDxfId="462"/>
    <tableColumn id="2" xr3:uid="{3CC6CC00-F582-44B3-8DE8-51E32DF72C0B}" name="Symmetry" dataDxfId="461"/>
    <tableColumn id="3" xr3:uid="{688CCF77-49F7-4D46-8EB1-DEB1C8072698}" name="X1" dataDxfId="460"/>
    <tableColumn id="4" xr3:uid="{3511EE9F-865E-4CC8-90C4-F978CDDF7004}" name="Y1" dataDxfId="459"/>
    <tableColumn id="5" xr3:uid="{DEBDE0C6-D006-46DB-AEE8-6A9327052F8F}" name="Z1" dataDxfId="458"/>
    <tableColumn id="6" xr3:uid="{2BCB741A-A09E-49B5-A524-6E9DE6E571E3}" name="Symmetry2" dataDxfId="457"/>
    <tableColumn id="7" xr3:uid="{209D4645-DE3F-4787-B521-B1B61DCAFEED}" name="X2" dataDxfId="456"/>
    <tableColumn id="8" xr3:uid="{99752A0F-20CA-4BB2-819D-EA2B0F92E2FF}" name="Y2" dataDxfId="455"/>
    <tableColumn id="9" xr3:uid="{7803F26F-CBA6-4FBC-8FD5-8FF597CED9F9}" name="Z2" dataDxfId="454"/>
    <tableColumn id="10" xr3:uid="{CA41D30A-FF12-45A5-88DB-AEEEC803DA7F}" name="DX" dataDxfId="453">
      <calculatedColumnFormula>IFERROR(Tabela13[[#This Row],[X2]]-Tabela13[[#This Row],[X1]],"Missing Data")</calculatedColumnFormula>
    </tableColumn>
    <tableColumn id="11" xr3:uid="{42A42D21-C093-4EF5-8CD5-EFE06251B0B3}" name="DY" dataDxfId="452">
      <calculatedColumnFormula>IFERROR(Tabela13[[#This Row],[Y2]]-Tabela13[[#This Row],[Y1]],"Missing Data")</calculatedColumnFormula>
    </tableColumn>
    <tableColumn id="12" xr3:uid="{5C42F582-4505-4446-88FE-1893EB555EB6}" name="DZ" dataDxfId="451">
      <calculatedColumnFormula>IFERROR(Tabela13[[#This Row],[Z2]]-Tabela13[[#This Row],[Z1]],"Missing Data")</calculatedColumnFormula>
    </tableColumn>
  </tableColumns>
  <tableStyleInfo name="TableStyleMedium15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B29AAE-6597-49C2-B242-8885EE6BE6A1}" name="Tabela134" displayName="Tabela134" ref="D21:O39" totalsRowShown="0" headerRowDxfId="450" dataDxfId="449">
  <tableColumns count="12">
    <tableColumn id="1" xr3:uid="{D9C2B1A1-666E-454D-8986-8B3D058315FF}" name="Rear Suspension HP" dataDxfId="448"/>
    <tableColumn id="2" xr3:uid="{B44DE55E-2BAF-415F-AA6B-540CB49B3E95}" name="Symmetry" dataDxfId="447"/>
    <tableColumn id="3" xr3:uid="{B2894FD8-1E97-45CB-B698-9196B9D13275}" name="X1" dataDxfId="446"/>
    <tableColumn id="4" xr3:uid="{514A782C-1054-4704-86F9-146D00ED8088}" name="Y1" dataDxfId="445"/>
    <tableColumn id="5" xr3:uid="{35E0635A-E41C-41E1-B6CB-14378C11F93E}" name="Z1" dataDxfId="444"/>
    <tableColumn id="6" xr3:uid="{3B7B8241-BEEB-450C-A4F5-D9AE38B8C434}" name="Symmetry2" dataDxfId="443"/>
    <tableColumn id="7" xr3:uid="{9CA57375-0BA4-4C4C-B4C2-3578B9D6306C}" name="X2" dataDxfId="442"/>
    <tableColumn id="8" xr3:uid="{6E53CD92-77C3-463F-B692-AF398F8F8A90}" name="Y2" dataDxfId="441"/>
    <tableColumn id="9" xr3:uid="{3217CECE-439E-495E-9377-9A83A824D6E3}" name="Z2" dataDxfId="440"/>
    <tableColumn id="10" xr3:uid="{FBC0120D-5F0A-40E6-A4EB-8149110427D8}" name="DX" dataDxfId="439">
      <calculatedColumnFormula>IFERROR(Tabela134[[#This Row],[X2]]-Tabela134[[#This Row],[X1]],"Missing Data")</calculatedColumnFormula>
    </tableColumn>
    <tableColumn id="11" xr3:uid="{52E3628F-552E-4845-9C37-66BBA6A3DD64}" name="DY" dataDxfId="438">
      <calculatedColumnFormula>IFERROR(Tabela134[[#This Row],[Y2]]-Tabela134[[#This Row],[Y1]],"Missing Data")</calculatedColumnFormula>
    </tableColumn>
    <tableColumn id="12" xr3:uid="{A16D7823-D76C-4D54-9C15-07904D9FF84A}" name="DZ" dataDxfId="437">
      <calculatedColumnFormula>IFERROR(Tabela134[[#This Row],[Z2]]-Tabela134[[#This Row],[Z1]],"Missing Data")</calculatedColumnFormula>
    </tableColumn>
  </tableColumns>
  <tableStyleInfo name="TableStyleMedium15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5B0A83-9B7E-4E04-A8F4-FE79249BD28A}" name="Tabela1345" displayName="Tabela1345" ref="D41:O49" totalsRowShown="0" headerRowDxfId="436" dataDxfId="435">
  <tableColumns count="12">
    <tableColumn id="1" xr3:uid="{91AAB91D-07FF-4E3E-A3D4-016F9E7F32EB}" name="Steering HP" dataDxfId="434"/>
    <tableColumn id="2" xr3:uid="{A5118539-6688-4661-95FE-DC065316E279}" name="Symmetry" dataDxfId="433"/>
    <tableColumn id="3" xr3:uid="{4463021B-0EDE-4D5F-98E6-C118DF514C92}" name="X1" dataDxfId="432"/>
    <tableColumn id="4" xr3:uid="{2271AF3B-9C4B-4BEC-A853-DCBC99285D86}" name="Y1" dataDxfId="431"/>
    <tableColumn id="5" xr3:uid="{751D28FD-BB68-4A77-97FC-155851A9464A}" name="Z1" dataDxfId="430"/>
    <tableColumn id="6" xr3:uid="{651385BB-1973-46F4-897E-28AD0407117B}" name="Symmetry2" dataDxfId="429"/>
    <tableColumn id="7" xr3:uid="{EFBD0BE3-9CDE-493C-927A-6AB7734CAE7B}" name="X2" dataDxfId="428"/>
    <tableColumn id="8" xr3:uid="{0A124116-BEEC-486B-B362-C7C5CF63C1D9}" name="Y2" dataDxfId="427"/>
    <tableColumn id="9" xr3:uid="{AFF353A5-C222-49DD-98E5-F18CAA460158}" name="Z2" dataDxfId="426"/>
    <tableColumn id="10" xr3:uid="{713C914C-0575-415D-A7F0-6264BB7140DC}" name="DX" dataDxfId="425">
      <calculatedColumnFormula>IFERROR(Tabela1345[[#This Row],[X2]]-Tabela1345[[#This Row],[X1]],"Missing Data")</calculatedColumnFormula>
    </tableColumn>
    <tableColumn id="11" xr3:uid="{552E0774-BAE3-47C8-A974-16E8AAD26F86}" name="DY" dataDxfId="424">
      <calculatedColumnFormula>IFERROR(Tabela1345[[#This Row],[Y2]]-Tabela1345[[#This Row],[Y1]],"Missing Data")</calculatedColumnFormula>
    </tableColumn>
    <tableColumn id="12" xr3:uid="{8E5FE116-3399-419D-8EF5-E243EC981AF7}" name="DZ" dataDxfId="423">
      <calculatedColumnFormula>IFERROR(Tabela1345[[#This Row],[Z2]]-Tabela1345[[#This Row],[Z1]],"Missing Data")</calculatedColumnFormula>
    </tableColumn>
  </tableColumns>
  <tableStyleInfo name="TableStyleMedium15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F8390C-C5F2-4B1A-A508-036B2EB1A146}" name="Tabela13456" displayName="Tabela13456" ref="D51:O66" totalsRowShown="0" headerRowDxfId="422" dataDxfId="421">
  <tableColumns count="12">
    <tableColumn id="1" xr3:uid="{FD2D9356-5580-4304-979F-57638C30E4DD}" name="ARB Front HP" dataDxfId="420"/>
    <tableColumn id="2" xr3:uid="{A6D461BF-F96D-400E-8CB5-CF0816E90773}" name="Symmetry" dataDxfId="419"/>
    <tableColumn id="3" xr3:uid="{9845F356-B60C-4B46-8DBF-3251C52D3488}" name="X1" dataDxfId="418"/>
    <tableColumn id="4" xr3:uid="{7ACBC5FF-F47E-4F68-A794-4F0B92867218}" name="Y1" dataDxfId="417"/>
    <tableColumn id="5" xr3:uid="{CC64BA50-F94D-4404-A9B6-4C5C1119209F}" name="Z1" dataDxfId="416"/>
    <tableColumn id="6" xr3:uid="{9E0651B0-7E60-4F8F-B858-FE6A4979EB56}" name="Symmetry2" dataDxfId="415"/>
    <tableColumn id="7" xr3:uid="{FD00335F-F413-49A2-97E5-4D5727ECA8A7}" name="X2" dataDxfId="414"/>
    <tableColumn id="8" xr3:uid="{22E16CD3-BA71-4CB6-A68C-9B48902DEB87}" name="Y2" dataDxfId="413"/>
    <tableColumn id="9" xr3:uid="{2F1C9458-5D72-4431-8CA0-EF080E962F95}" name="Z2" dataDxfId="412"/>
    <tableColumn id="10" xr3:uid="{3349E7C6-A412-46D1-9779-2B06348FC184}" name="DX" dataDxfId="411">
      <calculatedColumnFormula>IFERROR(Tabela13456[[#This Row],[X2]]-Tabela13456[[#This Row],[X1]],"Missing Data")</calculatedColumnFormula>
    </tableColumn>
    <tableColumn id="11" xr3:uid="{A51F19F7-0A66-427E-9B7E-16263CFB7CCD}" name="DY" dataDxfId="410">
      <calculatedColumnFormula>IFERROR(Tabela13456[[#This Row],[Y2]]-Tabela13456[[#This Row],[Y1]],"Missing Data")</calculatedColumnFormula>
    </tableColumn>
    <tableColumn id="12" xr3:uid="{F8DD40A0-6C83-48E9-B6BF-FE8748327582}" name="DZ" dataDxfId="409">
      <calculatedColumnFormula>IFERROR(Tabela13456[[#This Row],[Z2]]-Tabela13456[[#This Row],[Z1]],"Missing Data")</calculatedColumnFormula>
    </tableColumn>
  </tableColumns>
  <tableStyleInfo name="TableStyleMedium15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48F06A-6942-489E-8B50-C4FEE1C774AD}" name="Tabela134567" displayName="Tabela134567" ref="D98:O111" totalsRowShown="0" headerRowDxfId="408" dataDxfId="407">
  <tableColumns count="12">
    <tableColumn id="1" xr3:uid="{5E7CCACC-32A0-4DEC-A3C0-D16366ACE2EE}" name="Engine HP" dataDxfId="406"/>
    <tableColumn id="2" xr3:uid="{16449593-ED0C-4636-8CDE-1BE0545B365D}" name="Symmetry" dataDxfId="405"/>
    <tableColumn id="3" xr3:uid="{53B523C1-93A9-4AAB-9CA5-8EE7BFFCD14D}" name="X1" dataDxfId="404"/>
    <tableColumn id="4" xr3:uid="{B03E15CD-CB03-4102-9F69-2A0B9E9D87DE}" name="Y1" dataDxfId="403"/>
    <tableColumn id="5" xr3:uid="{45A6F721-B1D8-46D9-96B1-14414E18738D}" name="Z1" dataDxfId="402"/>
    <tableColumn id="6" xr3:uid="{EE7C2078-19FC-4010-89A0-365D67C24976}" name="Symmetry2" dataDxfId="401"/>
    <tableColumn id="7" xr3:uid="{5E96722A-5EBD-4BB8-86D2-DD1F08F463AC}" name="X2" dataDxfId="400"/>
    <tableColumn id="8" xr3:uid="{4D93E652-0B19-45FD-BBE3-B0F722550938}" name="Y2" dataDxfId="399"/>
    <tableColumn id="9" xr3:uid="{BC95AFC7-48F5-455C-95B7-6A66136B7669}" name="Z2" dataDxfId="398"/>
    <tableColumn id="10" xr3:uid="{2E0DCF7C-333E-4F58-929A-AA9EFC97526D}" name="DX" dataDxfId="397">
      <calculatedColumnFormula>IFERROR(Tabela134567[[#This Row],[X2]]-Tabela134567[[#This Row],[X1]],"Missing Data")</calculatedColumnFormula>
    </tableColumn>
    <tableColumn id="11" xr3:uid="{773E8193-AFFD-483D-A772-115EDB162DDF}" name="DY" dataDxfId="396">
      <calculatedColumnFormula>IFERROR(Tabela134567[[#This Row],[Y2]]-Tabela134567[[#This Row],[Y1]],"Missing Data")</calculatedColumnFormula>
    </tableColumn>
    <tableColumn id="12" xr3:uid="{0742B6AE-0B66-4CB7-8041-CF6CD7A71796}" name="DZ" dataDxfId="395">
      <calculatedColumnFormula>IFERROR(Tabela134567[[#This Row],[Z2]]-Tabela134567[[#This Row],[Z1]],"Missing Data")</calculatedColumnFormula>
    </tableColumn>
  </tableColumns>
  <tableStyleInfo name="TableStyleMedium15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F4F519-892E-4E6E-8D82-3C9647384984}" name="Tabela1345678" displayName="Tabela1345678" ref="D113:O133" totalsRowShown="0" headerRowDxfId="394" dataDxfId="393">
  <tableColumns count="12">
    <tableColumn id="1" xr3:uid="{0F423C0E-8913-4C6E-958D-B43421D89638}" name="Body on Frame HP" dataDxfId="392"/>
    <tableColumn id="2" xr3:uid="{ECDECC0C-0735-4FB9-BA18-2D2B156C2891}" name="Symmetry" dataDxfId="391"/>
    <tableColumn id="3" xr3:uid="{89B837EB-7064-4EDA-8447-225450B8742B}" name="X1" dataDxfId="390"/>
    <tableColumn id="4" xr3:uid="{2C690F91-2C6B-4D11-8783-5BF1CCA71BC3}" name="Y1" dataDxfId="389"/>
    <tableColumn id="5" xr3:uid="{9DF819D2-575C-4818-A73F-782A989391B3}" name="Z1" dataDxfId="388"/>
    <tableColumn id="6" xr3:uid="{E7CA1A2B-8038-4ABC-A0B1-FD0095B5B747}" name="Symmetry2" dataDxfId="387"/>
    <tableColumn id="7" xr3:uid="{82C3294A-D228-4735-AD30-CA47479B4AC7}" name="X2" dataDxfId="386"/>
    <tableColumn id="8" xr3:uid="{FA4241BB-0AFF-4FB2-B672-EB826543200B}" name="Y2" dataDxfId="385"/>
    <tableColumn id="9" xr3:uid="{AA92A423-0DE3-4106-9880-5D1CD7E37A50}" name="Z2" dataDxfId="384"/>
    <tableColumn id="10" xr3:uid="{D642132B-5C0E-431D-B355-C9B2B35F224B}" name="DX" dataDxfId="383">
      <calculatedColumnFormula>IFERROR(Tabela1345678[[#This Row],[X2]]-Tabela1345678[[#This Row],[X1]],"Missing Data")</calculatedColumnFormula>
    </tableColumn>
    <tableColumn id="11" xr3:uid="{70B3F706-7D55-4DB1-B751-816B0B6D2BD5}" name="DY" dataDxfId="382">
      <calculatedColumnFormula>IFERROR(Tabela1345678[[#This Row],[Y2]]-Tabela1345678[[#This Row],[Y1]],"Missing Data")</calculatedColumnFormula>
    </tableColumn>
    <tableColumn id="12" xr3:uid="{094D220C-3D60-4507-89C1-F6F3AD35EC37}" name="DZ" dataDxfId="381">
      <calculatedColumnFormula>IFERROR(Tabela1345678[[#This Row],[Z2]]-Tabela1345678[[#This Row],[Z1]],"Missing Data")</calculatedColumnFormula>
    </tableColumn>
  </tableColumns>
  <tableStyleInfo name="TableStyleMedium15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D6A68AE-8300-4125-9C4F-54084E20313B}" name="Tabela14" displayName="Tabela14" ref="Q1:T7" totalsRowShown="0" headerRowBorderDxfId="380" tableBorderDxfId="379" totalsRowBorderDxfId="378">
  <autoFilter ref="Q1:T7" xr:uid="{CD6A68AE-8300-4125-9C4F-54084E20313B}">
    <filterColumn colId="0" hiddenButton="1"/>
    <filterColumn colId="1" hiddenButton="1"/>
    <filterColumn colId="2" hiddenButton="1"/>
    <filterColumn colId="3" hiddenButton="1"/>
  </autoFilter>
  <tableColumns count="4">
    <tableColumn id="1" xr3:uid="{F5C5A867-E3BC-4809-A7DF-3F231EE5889B}" name="Front Suspension Parameters" dataDxfId="377"/>
    <tableColumn id="2" xr3:uid="{0DFABE54-8191-4FD6-BEF6-C861FF75BCA2}" name="Program 1" dataDxfId="376"/>
    <tableColumn id="3" xr3:uid="{4FF36905-548B-4ED1-92C6-6DAAC9CF9EF5}" name="Program 2" dataDxfId="375"/>
    <tableColumn id="4" xr3:uid="{C08C3BA1-BA14-405F-A2D6-1860F2B3B2A4}" name="Delta" dataDxfId="374">
      <calculatedColumnFormula>IFERROR(Tabela14[[#This Row],[Program 2]]-Tabela14[[#This Row],[Program 1]],"Missing Data")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9B3F38-D97E-463F-932C-83AF0800E794}" name="Tabela15" displayName="Tabela15" ref="Q21:T27" totalsRowShown="0" headerRowBorderDxfId="373" tableBorderDxfId="372" totalsRowBorderDxfId="371">
  <autoFilter ref="Q21:T27" xr:uid="{399B3F38-D97E-463F-932C-83AF0800E794}">
    <filterColumn colId="0" hiddenButton="1"/>
    <filterColumn colId="1" hiddenButton="1"/>
    <filterColumn colId="2" hiddenButton="1"/>
    <filterColumn colId="3" hiddenButton="1"/>
  </autoFilter>
  <tableColumns count="4">
    <tableColumn id="1" xr3:uid="{1578CD6B-02B2-4BFB-B3DD-E68E4BC305DB}" name="Rear Suspension Parameters" dataDxfId="370"/>
    <tableColumn id="2" xr3:uid="{DF75CDE1-F442-4DD8-9A39-5E7D9D7E4F71}" name="Program 1" dataDxfId="369"/>
    <tableColumn id="3" xr3:uid="{814F4828-086A-4732-AE1D-66A57B7E61DF}" name="Program 2" dataDxfId="368"/>
    <tableColumn id="4" xr3:uid="{7F95309C-39D1-484A-825C-5133CF8A9B66}" name="Delta" dataDxfId="367">
      <calculatedColumnFormula>IFERROR(Tabela15[[#This Row],[Program 2]]-Tabela15[[#This Row],[Program 1]],"Missing Data")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17D3459-B6DC-465A-B833-2740BD648D2B}" name="Tabela16" displayName="Tabela16" ref="Q41:T45" totalsRowShown="0" headerRowBorderDxfId="366" tableBorderDxfId="365" totalsRowBorderDxfId="364">
  <autoFilter ref="Q41:T45" xr:uid="{C17D3459-B6DC-465A-B833-2740BD648D2B}">
    <filterColumn colId="0" hiddenButton="1"/>
    <filterColumn colId="1" hiddenButton="1"/>
    <filterColumn colId="2" hiddenButton="1"/>
    <filterColumn colId="3" hiddenButton="1"/>
  </autoFilter>
  <tableColumns count="4">
    <tableColumn id="1" xr3:uid="{314C64EB-824F-4867-805F-A8EFC0404A5F}" name="Steering Parameters" dataDxfId="363"/>
    <tableColumn id="2" xr3:uid="{89125048-F9BD-4427-A5B5-084A053ECB44}" name="Program 1"/>
    <tableColumn id="3" xr3:uid="{FBF95E7B-2B9D-49FA-B59C-F713F97F1737}" name="Program 2"/>
    <tableColumn id="4" xr3:uid="{199C85F2-BE2D-4820-948C-D2644BDD47AD}" name="Delta" dataDxfId="362">
      <calculatedColumnFormula>IFERROR(Tabela16[[#This Row],[Program 2]]-Tabela16[[#This Row],[Program 1]],"Missing Data")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8B19901-B9CB-4349-98C0-11B3849952E9}" name="Tabela1345629" displayName="Tabela1345629" ref="D68:O96" totalsRowShown="0" headerRowDxfId="361" dataDxfId="360">
  <tableColumns count="12">
    <tableColumn id="1" xr3:uid="{AC28B6B6-DF4A-4796-8356-07F5CA5CA3BD}" name="ARB Rear HP" dataDxfId="359"/>
    <tableColumn id="2" xr3:uid="{E978C788-CA8E-45B3-85B2-67BED8C81FDA}" name="Symmetry" dataDxfId="358"/>
    <tableColumn id="3" xr3:uid="{32543003-842E-44F3-914D-31924CF5774D}" name="X1" dataDxfId="357"/>
    <tableColumn id="4" xr3:uid="{3D4709DD-337B-4068-B5D3-5A32F9AF06D2}" name="Y1" dataDxfId="356"/>
    <tableColumn id="5" xr3:uid="{92BA9C5A-B74E-4732-AA0D-F31A45B0A173}" name="Z1" dataDxfId="355"/>
    <tableColumn id="6" xr3:uid="{5EA567E1-B9EA-4CCE-8570-FDF2DEC85AD7}" name="Symmetry2" dataDxfId="354"/>
    <tableColumn id="7" xr3:uid="{E1EE43F6-54BC-46AD-9234-4C19DD795AEF}" name="X2" dataDxfId="353"/>
    <tableColumn id="8" xr3:uid="{DAF34425-6AD7-4A93-A92C-0985CE4160EE}" name="Y2" dataDxfId="352"/>
    <tableColumn id="9" xr3:uid="{19D53CDC-55C0-4D1D-AC47-7DBBD3D71B43}" name="Z2" dataDxfId="351"/>
    <tableColumn id="10" xr3:uid="{759284DE-D2BD-4C15-BD90-C6ED4B1F6D39}" name="DX" dataDxfId="350">
      <calculatedColumnFormula>IFERROR(Tabela1345629[[#This Row],[X2]]-Tabela1345629[[#This Row],[X1]],"Missing Data")</calculatedColumnFormula>
    </tableColumn>
    <tableColumn id="11" xr3:uid="{D9A7A029-A0A8-4CB8-89CD-D4C2A139B860}" name="DY" dataDxfId="349">
      <calculatedColumnFormula>IFERROR(Tabela1345629[[#This Row],[Y2]]-Tabela1345629[[#This Row],[Y1]],"Missing Data")</calculatedColumnFormula>
    </tableColumn>
    <tableColumn id="12" xr3:uid="{977730E4-1DE5-45E5-B22E-CFDE2934CDB9}" name="DZ" dataDxfId="348">
      <calculatedColumnFormula>IFERROR(Tabela1345629[[#This Row],[Z2]]-Tabela1345629[[#This Row],[Z1]],"Missing Data")</calculatedColumnFormula>
    </tableColumn>
  </tableColumns>
  <tableStyleInfo name="TableStyleMedium15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359212-24F9-4169-BBFC-931451F7985F}" name="Tabela13456710" displayName="Tabela13456710" ref="D135:O148" totalsRowShown="0" headerRowDxfId="347" dataDxfId="346">
  <tableColumns count="12">
    <tableColumn id="1" xr3:uid="{9B51345F-9453-459F-9B7D-899ECBA20940}" name="EDM HP" dataDxfId="345"/>
    <tableColumn id="2" xr3:uid="{FFC7E3C2-E241-4C94-8459-7EBB7ADDC02C}" name="Symmetry" dataDxfId="344"/>
    <tableColumn id="3" xr3:uid="{18DBD89D-E852-48E0-9DD6-4A3BA6670F0A}" name="X1" dataDxfId="343"/>
    <tableColumn id="4" xr3:uid="{C7430354-B2F5-4556-AE8F-F85E1C4DFBF0}" name="Y1" dataDxfId="342"/>
    <tableColumn id="5" xr3:uid="{B43BFF60-2B30-48B9-876E-24BCAAEAFE00}" name="Z1" dataDxfId="341"/>
    <tableColumn id="6" xr3:uid="{3999A474-5ABF-4BE1-8217-7C2701CFD900}" name="Symmetry2" dataDxfId="340"/>
    <tableColumn id="7" xr3:uid="{DFBA02B1-D9EA-4580-A461-90A05FEF8410}" name="X2" dataDxfId="339"/>
    <tableColumn id="8" xr3:uid="{94C41926-0C87-4CAD-A377-F9A4F6E8D7FA}" name="Y2" dataDxfId="338"/>
    <tableColumn id="9" xr3:uid="{845C47BE-3EFB-49B3-B554-BAFFF4B8FFE7}" name="Z2" dataDxfId="337"/>
    <tableColumn id="10" xr3:uid="{2E693ABC-6411-49B6-AD6F-6CBE022DA6B3}" name="DX" dataDxfId="336">
      <calculatedColumnFormula>IFERROR(Tabela13456710[[#This Row],[X2]]-Tabela13456710[[#This Row],[X1]],"Missing Data")</calculatedColumnFormula>
    </tableColumn>
    <tableColumn id="11" xr3:uid="{FB43AC81-D3F6-436F-91B9-60171253FA78}" name="DY" dataDxfId="335">
      <calculatedColumnFormula>IFERROR(Tabela13456710[[#This Row],[Y2]]-Tabela13456710[[#This Row],[Y1]],"Missing Data")</calculatedColumnFormula>
    </tableColumn>
    <tableColumn id="12" xr3:uid="{3219A4B4-9464-40B0-9AA4-D139BBA933BE}" name="DZ" dataDxfId="334">
      <calculatedColumnFormula>IFERROR(Tabela13456710[[#This Row],[Z2]]-Tabela13456710[[#This Row],[Z1]],"Missing Data")</calculatedColumnFormula>
    </tableColumn>
  </tableColumns>
  <tableStyleInfo name="TableStyleMedium15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756C7FF-0DB9-48AA-9ED2-0275FF1645DF}" name="Tabela1318" displayName="Tabela1318" ref="D1:P14" totalsRowShown="0" headerRowDxfId="333" dataDxfId="332" tableBorderDxfId="331">
  <tableColumns count="13">
    <tableColumn id="1" xr3:uid="{D6D30CB0-3D41-4847-B7E5-A699C47304EE}" name="Front Suspension Parts" dataDxfId="330"/>
    <tableColumn id="2" xr3:uid="{B5EB5CFB-9272-45C8-B22E-06D433D2AAA9}" name="Mass1" dataDxfId="329"/>
    <tableColumn id="3" xr3:uid="{E8B59A71-84A5-46B8-B8A1-B0A361CE74FE}" name="IXX1" dataDxfId="328"/>
    <tableColumn id="4" xr3:uid="{65ADE0AC-9BB6-49AF-86AE-838F99A914BF}" name="IYY1" dataDxfId="327"/>
    <tableColumn id="5" xr3:uid="{6267CB6A-E254-4FC8-A7E1-39206607AC8B}" name="IZZ1" dataDxfId="326"/>
    <tableColumn id="6" xr3:uid="{91C6285E-1F43-4038-B0D6-35CEFAD31309}" name="Mass2" dataDxfId="325"/>
    <tableColumn id="7" xr3:uid="{7E65AB34-BA12-4AE3-9896-1ACA5994BBE1}" name="IXX2" dataDxfId="324"/>
    <tableColumn id="8" xr3:uid="{FADF9C83-2255-4939-A75F-690A8E7D8936}" name="IYY2" dataDxfId="323"/>
    <tableColumn id="9" xr3:uid="{17F0D761-6BE7-4ED6-BDCD-6F8E557528D4}" name="IZZ2" dataDxfId="322"/>
    <tableColumn id="10" xr3:uid="{BFC6999C-71EA-47BA-9DCC-FDC202604CE0}" name="Dmass" dataDxfId="321">
      <calculatedColumnFormula>IFERROR(Tabela1318[[#This Row],[Mass1]]-Tabela1318[[#This Row],[Mass2]],"Missing Data")</calculatedColumnFormula>
    </tableColumn>
    <tableColumn id="11" xr3:uid="{AC2335B1-C6B5-44A9-9317-D7E9BA640C29}" name="DIXX" dataDxfId="320">
      <calculatedColumnFormula>IFERROR(Tabela1318[[#This Row],[IXX1]]-Tabela1318[[#This Row],[IXX2]],"Missing Data")</calculatedColumnFormula>
    </tableColumn>
    <tableColumn id="12" xr3:uid="{15720342-B28E-4A69-A732-8C5A44E5610B}" name="DIYY" dataDxfId="319">
      <calculatedColumnFormula>IFERROR(Tabela1318[[#This Row],[IYY1]]-Tabela1318[[#This Row],[IYY2]],"Missing Data")</calculatedColumnFormula>
    </tableColumn>
    <tableColumn id="13" xr3:uid="{570A1C2A-11FC-4070-9FB9-F8ACE973A498}" name="DIZZ" dataDxfId="318">
      <calculatedColumnFormula>IFERROR(Tabela1318[[#This Row],[IZZ1]]-Tabela1318[[#This Row],[IZZ2]],"Missing Data")</calculatedColumnFormula>
    </tableColumn>
  </tableColumns>
  <tableStyleInfo name="TableStyleMedium15" showFirstColumn="1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572C569-9689-41A9-9054-9D6019786138}" name="Tabela13419" displayName="Tabela13419" ref="D16:P27" totalsRowShown="0" headerRowDxfId="317" dataDxfId="316">
  <tableColumns count="13">
    <tableColumn id="1" xr3:uid="{8D73A5A9-26A7-481F-83FA-9F9F4CF0AEA1}" name="Rear Suspension Parts" dataDxfId="315"/>
    <tableColumn id="2" xr3:uid="{9841142B-1AB8-4520-837C-D60FA84F17DD}" name="Mass1" dataDxfId="314"/>
    <tableColumn id="3" xr3:uid="{53C3547D-2E78-4861-925A-FA44EC03437D}" name="IXX1" dataDxfId="313"/>
    <tableColumn id="4" xr3:uid="{F35413AD-5AF8-4EEF-AA71-1262ABCB6E12}" name="IYY1" dataDxfId="312"/>
    <tableColumn id="5" xr3:uid="{2E3E3333-1448-428A-BC88-781C92147189}" name="IZZ1" dataDxfId="311"/>
    <tableColumn id="6" xr3:uid="{0C3A98DE-64BB-4180-B518-7F3FD3123AE1}" name="Mass2" dataDxfId="310"/>
    <tableColumn id="7" xr3:uid="{BE7CEF92-B2E5-408A-8926-C33B11C55B97}" name="IXX2" dataDxfId="309"/>
    <tableColumn id="8" xr3:uid="{86922357-3E4E-419A-A41B-7DFDECCA5800}" name="IYY2" dataDxfId="308"/>
    <tableColumn id="9" xr3:uid="{8E7118A3-15BD-44D4-975A-2610FE75E5CC}" name="IZZ2" dataDxfId="307"/>
    <tableColumn id="10" xr3:uid="{FB275DF2-C29B-4A0F-8351-741263D57729}" name="Dmass" dataDxfId="306">
      <calculatedColumnFormula>IFERROR(Tabela13419[[#This Row],[Mass1]]-Tabela13419[[#This Row],[Mass2]],"Missing Data")</calculatedColumnFormula>
    </tableColumn>
    <tableColumn id="11" xr3:uid="{626A2393-0D9E-401E-A379-F1FCA3BBA799}" name="DIXX" dataDxfId="305">
      <calculatedColumnFormula>IFERROR(Tabela13419[[#This Row],[IXX1]]-Tabela13419[[#This Row],[IXX2]],"Missing Data")</calculatedColumnFormula>
    </tableColumn>
    <tableColumn id="12" xr3:uid="{4FF693B9-159B-4F68-A4FB-4DF7ED2166B4}" name="DIYY" dataDxfId="304">
      <calculatedColumnFormula>IFERROR(Tabela13419[[#This Row],[IYY1]]-Tabela13419[[#This Row],[IYY2]],"Missing Data")</calculatedColumnFormula>
    </tableColumn>
    <tableColumn id="13" xr3:uid="{B5FD778D-3C71-4B64-BD73-8324BB4486CE}" name="DIZZ" dataDxfId="303">
      <calculatedColumnFormula>IFERROR(Tabela13419[[#This Row],[IZZ1]]-Tabela13419[[#This Row],[IZZ2]],"Missing Data")</calculatedColumnFormula>
    </tableColumn>
  </tableColumns>
  <tableStyleInfo name="TableStyleMedium15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F074F56-6890-445E-9D7F-DB9D9C260027}" name="Tabela134520" displayName="Tabela134520" ref="D29:P38" totalsRowShown="0" headerRowDxfId="302" dataDxfId="301">
  <tableColumns count="13">
    <tableColumn id="1" xr3:uid="{67216BAE-0F8C-4A24-B189-6329FC166312}" name="Steering Parts" dataDxfId="300"/>
    <tableColumn id="2" xr3:uid="{C5E76C0C-A581-4A56-8BF4-FA3D53EE4449}" name="Mass1" dataDxfId="299"/>
    <tableColumn id="3" xr3:uid="{3820926C-E162-4AE5-B32C-4D9E5EDA9AAB}" name="IXX1" dataDxfId="298"/>
    <tableColumn id="4" xr3:uid="{9943B302-504C-41EE-8663-E6E6969F1CCB}" name="IYY1" dataDxfId="297"/>
    <tableColumn id="5" xr3:uid="{6450D7C8-9288-4DE6-B9B6-B11210C88C28}" name="IZZ1" dataDxfId="296"/>
    <tableColumn id="6" xr3:uid="{CF92EE4C-7D8C-41A9-88E5-E3DC22E0AF69}" name="Mass2" dataDxfId="295"/>
    <tableColumn id="7" xr3:uid="{E068C4BC-8574-4918-9EAF-1AA5E32A6A18}" name="IXX2" dataDxfId="294"/>
    <tableColumn id="8" xr3:uid="{731D00CE-DBFE-4CCF-A8B3-0E4179731C62}" name="IYY2" dataDxfId="293"/>
    <tableColumn id="9" xr3:uid="{FA27103B-CBC0-4781-8A24-8AB35A1DD10F}" name="IZZ2" dataDxfId="292"/>
    <tableColumn id="10" xr3:uid="{6E0B78F0-7818-4CCE-A65A-E4055E5A1B71}" name="Dmass" dataDxfId="291">
      <calculatedColumnFormula>IFERROR(Tabela134520[[#This Row],[Mass1]]-Tabela134520[[#This Row],[Mass2]],"Missing Data")</calculatedColumnFormula>
    </tableColumn>
    <tableColumn id="11" xr3:uid="{0361827A-657C-4C83-9CA5-CDFAC3F0C524}" name="DIXX" dataDxfId="290">
      <calculatedColumnFormula>IFERROR(Tabela134520[[#This Row],[IXX1]]-Tabela134520[[#This Row],[IXX2]],"Missing Data")</calculatedColumnFormula>
    </tableColumn>
    <tableColumn id="12" xr3:uid="{D3F9B053-DA15-42E6-8331-BBEB0190EA9E}" name="DIYY" dataDxfId="289">
      <calculatedColumnFormula>IFERROR(Tabela134520[[#This Row],[IYY1]]-Tabela134520[[#This Row],[IYY2]],"Missing Data")</calculatedColumnFormula>
    </tableColumn>
    <tableColumn id="13" xr3:uid="{34603CD2-E7EE-45DF-97B4-869FFD821433}" name="DIZZ" dataDxfId="288">
      <calculatedColumnFormula>IFERROR(Tabela134520[[#This Row],[IZZ1]]-Tabela134520[[#This Row],[IZZ2]],"Missing Data")</calculatedColumnFormula>
    </tableColumn>
  </tableColumns>
  <tableStyleInfo name="TableStyleMedium15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1677B3A-7511-41AC-9587-C37DF63E4D9B}" name="Tabela1345621" displayName="Tabela1345621" ref="D40:P41" totalsRowShown="0" headerRowDxfId="287" dataDxfId="286">
  <tableColumns count="13">
    <tableColumn id="1" xr3:uid="{9F3C85C8-01C5-4520-992C-4F202C73D753}" name="Front Wheel Parts" dataDxfId="285"/>
    <tableColumn id="2" xr3:uid="{7435B4D7-B4F8-4CC2-A850-069ED49B3E6F}" name="Mass1" dataDxfId="284"/>
    <tableColumn id="3" xr3:uid="{1A362754-9C2D-4A79-826E-4AE369B0AC3C}" name="IXX1" dataDxfId="283"/>
    <tableColumn id="4" xr3:uid="{594DC41E-8456-4633-AE9E-0C31AE90AFEE}" name="IYY1" dataDxfId="282"/>
    <tableColumn id="5" xr3:uid="{4D48467C-2A59-4FA1-B97D-1931793E646E}" name="IZZ1" dataDxfId="281"/>
    <tableColumn id="6" xr3:uid="{C24BE3E0-F576-4182-9D57-E7615B483E3C}" name="Mass2" dataDxfId="280"/>
    <tableColumn id="7" xr3:uid="{9B991DCA-3344-471E-99CE-30F27F026C5B}" name="IXX2" dataDxfId="279"/>
    <tableColumn id="8" xr3:uid="{3AA79F96-D49B-44E4-9F70-96F850FE5106}" name="IYY2" dataDxfId="278"/>
    <tableColumn id="9" xr3:uid="{0BA880F0-D405-41C6-9A52-5DE3DF4C6088}" name="IZZ2" dataDxfId="277"/>
    <tableColumn id="10" xr3:uid="{3CC0BA78-D613-451E-800E-2BB88BEB47B6}" name="Dmass" dataDxfId="276">
      <calculatedColumnFormula>IFERROR(Tabela1345621[[#This Row],[Mass1]]-Tabela1345621[[#This Row],[Mass2]],"Missing Data")</calculatedColumnFormula>
    </tableColumn>
    <tableColumn id="11" xr3:uid="{A1127736-A25E-4E9C-8866-D543DAD14636}" name="DIXX" dataDxfId="275">
      <calculatedColumnFormula>IFERROR(Tabela1345621[[#This Row],[IXX1]]-Tabela1345621[[#This Row],[IXX2]],"Missing Data")</calculatedColumnFormula>
    </tableColumn>
    <tableColumn id="12" xr3:uid="{6CA5D22C-151A-4BF8-9955-5933BE29E169}" name="DIYY" dataDxfId="274">
      <calculatedColumnFormula>IFERROR(Tabela1345621[[#This Row],[IYY1]]-Tabela1345621[[#This Row],[IYY2]],"Missing Data")</calculatedColumnFormula>
    </tableColumn>
    <tableColumn id="13" xr3:uid="{3D9F4BED-FC88-49AD-B343-D0ABE5B385DA}" name="DIZZ" dataDxfId="273">
      <calculatedColumnFormula>IFERROR(Tabela1345621[[#This Row],[IZZ1]]-Tabela1345621[[#This Row],[IZZ2]],"Missing Data")</calculatedColumnFormula>
    </tableColumn>
  </tableColumns>
  <tableStyleInfo name="TableStyleMedium15" showFirstColumn="1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B8AF9C6-9141-407B-B60A-1DE56C1D4C7F}" name="Tabela13456722" displayName="Tabela13456722" ref="D46:P48" totalsRowShown="0" headerRowDxfId="272" dataDxfId="271">
  <tableColumns count="13">
    <tableColumn id="1" xr3:uid="{2A85572A-F88B-4981-8247-F8302A04A39C}" name="Engine Parts" dataDxfId="270"/>
    <tableColumn id="2" xr3:uid="{70A1B285-DD43-4B1F-8585-CF01353CEAAA}" name="Mass1" dataDxfId="269"/>
    <tableColumn id="3" xr3:uid="{E238BE8C-5D19-40A9-A311-6F45F6E77E50}" name="IXX1" dataDxfId="268"/>
    <tableColumn id="4" xr3:uid="{7F313F21-C0D4-4C5C-9EFE-5E73C4C1D28D}" name="IYY1" dataDxfId="267"/>
    <tableColumn id="5" xr3:uid="{C40735C1-02C5-499C-9C56-F0AA1485BD79}" name="IZZ1" dataDxfId="266"/>
    <tableColumn id="6" xr3:uid="{FA26FB32-176D-434E-9218-1AD4BFF3302B}" name="Mass2" dataDxfId="265"/>
    <tableColumn id="7" xr3:uid="{AAE09BA3-92DB-4579-A730-D0BF3BE66D43}" name="IXX2" dataDxfId="264"/>
    <tableColumn id="8" xr3:uid="{B6D6F9FC-D12B-41F3-8F14-7F9BDB2E4545}" name="IYY2" dataDxfId="263"/>
    <tableColumn id="9" xr3:uid="{E507EA70-C722-4762-9A60-AB326EB3AD55}" name="IZZ2" dataDxfId="262"/>
    <tableColumn id="10" xr3:uid="{E5052A5B-B2A3-4FD9-AEF9-2D685CBC1BD7}" name="Dmass" dataDxfId="261">
      <calculatedColumnFormula>IFERROR(Tabela13456722[[#This Row],[Mass1]]-Tabela13456722[[#This Row],[Mass2]],"Missing Data")</calculatedColumnFormula>
    </tableColumn>
    <tableColumn id="11" xr3:uid="{4BB7298E-678A-475A-8490-0BA3341F1D94}" name="DIXX" dataDxfId="260">
      <calculatedColumnFormula>IFERROR(Tabela13456722[[#This Row],[IXX1]]-Tabela13456722[[#This Row],[IXX2]],"Missing Data")</calculatedColumnFormula>
    </tableColumn>
    <tableColumn id="12" xr3:uid="{BDDB7099-AA9C-488C-84DD-33E3FE5FC111}" name="DIYY" dataDxfId="259">
      <calculatedColumnFormula>IFERROR(Tabela13456722[[#This Row],[IYY1]]-Tabela13456722[[#This Row],[IYY2]],"Missing Data")</calculatedColumnFormula>
    </tableColumn>
    <tableColumn id="13" xr3:uid="{C8056519-09C9-4F07-B81C-18C15873C3C2}" name="DIZZ" dataDxfId="258">
      <calculatedColumnFormula>IFERROR(Tabela13456722[[#This Row],[IZZ1]]-Tabela13456722[[#This Row],[IZZ2]],"Missing Data")</calculatedColumnFormula>
    </tableColumn>
  </tableColumns>
  <tableStyleInfo name="TableStyleMedium15" showFirstColumn="1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271C2B6-3455-416D-82BB-CFB31C797311}" name="Tabela134567823" displayName="Tabela134567823" ref="D50:P58" totalsRowShown="0" headerRowDxfId="257" dataDxfId="256">
  <tableColumns count="13">
    <tableColumn id="1" xr3:uid="{7EC929FF-9170-4C49-82DC-4963CCA6888B}" name="Body Parts" dataDxfId="255"/>
    <tableColumn id="2" xr3:uid="{344F6A03-723A-445F-8644-7A2BD9674321}" name="Mass1" dataDxfId="254"/>
    <tableColumn id="3" xr3:uid="{196E4D29-0D44-4ED8-911B-58E51F6CEDD5}" name="IXX1" dataDxfId="253"/>
    <tableColumn id="4" xr3:uid="{CD3CD6F3-EA0C-4CC5-B319-F21838C64748}" name="IYY1" dataDxfId="252"/>
    <tableColumn id="5" xr3:uid="{6EACD4FC-A491-477B-8505-BC13BF568D34}" name="IZZ1" dataDxfId="251"/>
    <tableColumn id="6" xr3:uid="{86660238-EC1B-4E1C-A1FC-ED45EC864EEA}" name="Mass2" dataDxfId="250"/>
    <tableColumn id="7" xr3:uid="{BE8EFF95-F638-4D01-B579-2BD6865028A4}" name="IXX2" dataDxfId="249"/>
    <tableColumn id="8" xr3:uid="{D2B0CEAF-42D0-4CCD-AF7D-BD4C7359136E}" name="IYY2" dataDxfId="248"/>
    <tableColumn id="9" xr3:uid="{8CD6B5A5-637C-4C71-B399-270D8BFDCF9E}" name="IZZ2" dataDxfId="247"/>
    <tableColumn id="10" xr3:uid="{99C1CA90-EBD0-42E7-88D7-D83F415843F5}" name="Dmass" dataDxfId="246">
      <calculatedColumnFormula>IFERROR(Tabela134567823[[#This Row],[Mass1]]-Tabela134567823[[#This Row],[Mass2]],"Missing Data")</calculatedColumnFormula>
    </tableColumn>
    <tableColumn id="11" xr3:uid="{22F4655A-8847-4E02-AC58-EF914EBBB021}" name="DIXX" dataDxfId="245">
      <calculatedColumnFormula>IFERROR(Tabela134567823[[#This Row],[IXX1]]-Tabela134567823[[#This Row],[IXX2]],"Missing Data")</calculatedColumnFormula>
    </tableColumn>
    <tableColumn id="12" xr3:uid="{345F9C7C-554B-4DC0-B4F7-D59F56AC62B2}" name="DIYY" dataDxfId="244">
      <calculatedColumnFormula>IFERROR(Tabela134567823[[#This Row],[IYY1]]-Tabela134567823[[#This Row],[IYY2]],"Missing Data")</calculatedColumnFormula>
    </tableColumn>
    <tableColumn id="13" xr3:uid="{D951B93A-FF0F-4828-A00A-6EDD4365C8A9}" name="DIZZ" dataDxfId="243">
      <calculatedColumnFormula>IFERROR(Tabela134567823[[#This Row],[IZZ1]]-Tabela134567823[[#This Row],[IZZ2]],"Missing Data")</calculatedColumnFormula>
    </tableColumn>
  </tableColumns>
  <tableStyleInfo name="TableStyleMedium15" showFirstColumn="1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71B283-F7DC-42DB-AAE1-7AC2DD4A1AA6}" name="Tabela8" displayName="Tabela8" ref="D43:P44" totalsRowShown="0" headerRowDxfId="242" dataDxfId="240" headerRowBorderDxfId="241" tableBorderDxfId="239" totalsRowBorderDxfId="238">
  <autoFilter ref="D43:P44" xr:uid="{5D71B283-F7DC-42DB-AAE1-7AC2DD4A1A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50A5D5BB-831C-4E5E-B4CD-2EEDB9D6DB87}" name="Rear Wheel Parts" dataDxfId="237"/>
    <tableColumn id="2" xr3:uid="{603F89B3-E004-4DCD-B55A-696B2E18AA2E}" name="Mass1" dataDxfId="236"/>
    <tableColumn id="3" xr3:uid="{942884E0-48D7-4B1B-8DA0-7536129AE985}" name="IXX1" dataDxfId="235"/>
    <tableColumn id="4" xr3:uid="{11E09829-1D13-4078-AE8F-8AA6BC5A272F}" name="IYY1" dataDxfId="234"/>
    <tableColumn id="5" xr3:uid="{ADA40E99-DF53-42A9-803A-AFCC7D0A540F}" name="IZZ1" dataDxfId="233"/>
    <tableColumn id="6" xr3:uid="{0B4D9BFF-A2D8-42E7-B2B9-F110CF2EB199}" name="Mass2" dataDxfId="232"/>
    <tableColumn id="7" xr3:uid="{86E110F9-11C8-4D07-B032-9FA8D0225DFC}" name="IXX2" dataDxfId="231"/>
    <tableColumn id="8" xr3:uid="{63F6F880-F959-4E88-B3FD-4369E3A1B036}" name="IYY2" dataDxfId="230"/>
    <tableColumn id="9" xr3:uid="{8E31EC96-A0BA-4C61-8D69-22059C5CC441}" name="IZZ2" dataDxfId="229"/>
    <tableColumn id="10" xr3:uid="{456AF55F-CF80-40D7-97DC-63189F00D9BE}" name="Dmass" dataDxfId="228">
      <calculatedColumnFormula>Tabela8[[#This Row],[Mass1]]-Tabela8[[#This Row],[Mass2]]</calculatedColumnFormula>
    </tableColumn>
    <tableColumn id="11" xr3:uid="{C28F73F3-FB22-47BA-9455-794387C66D24}" name="DIXX" dataDxfId="227">
      <calculatedColumnFormula>Tabela8[[#This Row],[IXX1]]-Tabela8[[#This Row],[IXX2]]</calculatedColumnFormula>
    </tableColumn>
    <tableColumn id="12" xr3:uid="{A9332859-AE81-485E-B8E5-D98873804609}" name="DIYY" dataDxfId="226">
      <calculatedColumnFormula>Tabela8[[#This Row],[IYY1]]-Tabela8[[#This Row],[IYY2]]</calculatedColumnFormula>
    </tableColumn>
    <tableColumn id="13" xr3:uid="{9C525AE9-DF6F-4991-88E8-57CD0F6B14C7}" name="DIZZ" dataDxfId="225">
      <calculatedColumnFormula>Tabela8[[#This Row],[IZZ1]]-Tabela8[[#This Row],[IZZ2]]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394CF30-A7DF-4C36-B293-269B7BBD9425}" name="Tabela1345672211" displayName="Tabela1345672211" ref="D60:P62" totalsRowShown="0" headerRowDxfId="224" dataDxfId="223">
  <tableColumns count="13">
    <tableColumn id="1" xr3:uid="{AB4A4746-095F-4641-A7AF-2DB7234367B9}" name="EDM Parts" dataDxfId="222"/>
    <tableColumn id="2" xr3:uid="{FC2A9A73-56E7-40CD-9020-5C2A3DFCB524}" name="Mass1" dataDxfId="221"/>
    <tableColumn id="3" xr3:uid="{3D068C6A-92B4-42F1-A45A-46AB84DEE9BF}" name="IXX1" dataDxfId="220"/>
    <tableColumn id="4" xr3:uid="{8ED321A6-289F-41F0-A05B-A643A46F0DD8}" name="IYY1" dataDxfId="219"/>
    <tableColumn id="5" xr3:uid="{576DB62B-9D8D-4B73-B551-0EB9D3DEEC9E}" name="IZZ1" dataDxfId="218"/>
    <tableColumn id="6" xr3:uid="{E62B92C6-9C7B-4F76-9B90-9581C6F804B1}" name="Mass2" dataDxfId="217"/>
    <tableColumn id="7" xr3:uid="{490479D3-1CC0-46BE-BC79-FA36E151B95E}" name="IXX2" dataDxfId="216"/>
    <tableColumn id="8" xr3:uid="{CB408AEC-E88A-416C-97C7-95119FCA8D40}" name="IYY2" dataDxfId="215"/>
    <tableColumn id="9" xr3:uid="{3F8DD569-436B-4D5B-B401-FB990E73DD90}" name="IZZ2" dataDxfId="214"/>
    <tableColumn id="10" xr3:uid="{D2B768E2-5646-4030-8E0A-97B9B2D71B3A}" name="Dmass" dataDxfId="213">
      <calculatedColumnFormula>IFERROR(Tabela1345672211[[#This Row],[Mass1]]-Tabela1345672211[[#This Row],[Mass2]],"Missing Data")</calculatedColumnFormula>
    </tableColumn>
    <tableColumn id="11" xr3:uid="{52FCFD86-39DA-4A64-A9A2-A8FA5F06C76F}" name="DIXX" dataDxfId="212">
      <calculatedColumnFormula>IFERROR(Tabela1345672211[[#This Row],[IXX1]]-Tabela1345672211[[#This Row],[IXX2]],"Missing Data")</calculatedColumnFormula>
    </tableColumn>
    <tableColumn id="12" xr3:uid="{AEBD9BA8-EEA9-44C5-85E0-F8507F727AB0}" name="DIYY" dataDxfId="211">
      <calculatedColumnFormula>IFERROR(Tabela1345672211[[#This Row],[IYY1]]-Tabela1345672211[[#This Row],[IYY2]],"Missing Data")</calculatedColumnFormula>
    </tableColumn>
    <tableColumn id="13" xr3:uid="{CE8F4FD1-EB19-400D-922C-D48921BA6472}" name="DIZZ" dataDxfId="210">
      <calculatedColumnFormula>IFERROR(Tabela1345672211[[#This Row],[IZZ1]]-Tabela1345672211[[#This Row],[IZZ2]],"Missing Data")</calculatedColumnFormula>
    </tableColumn>
  </tableColumns>
  <tableStyleInfo name="TableStyleMedium15" showFirstColumn="1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7CA0230-808E-44EE-985A-39A0454FEB8E}" name="Tabela131830" displayName="Tabela131830" ref="D1:O24" totalsRowShown="0" headerRowDxfId="209" dataDxfId="208" tableBorderDxfId="207">
  <tableColumns count="12">
    <tableColumn id="1" xr3:uid="{995CA474-E02F-4C64-9AF2-065CB8D6A905}" name="Front Suspension Property" dataDxfId="206"/>
    <tableColumn id="2" xr3:uid="{D8A08787-2175-46B6-AA6C-920AEC6D740E}" name="Symmetry" dataDxfId="205"/>
    <tableColumn id="3" xr3:uid="{4C5777C7-85FE-4748-A639-658A4B95CB3B}" name="File Name" dataDxfId="204"/>
    <tableColumn id="4" xr3:uid="{4559E37C-CBFB-4850-8BAF-307915E02A64}" name="Database" dataDxfId="203">
      <calculatedColumnFormula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C2F9BCE2-62F3-4FF0-BF0C-F87443402D4B}" name="File" dataDxfId="202">
      <calculatedColumnFormula>IFERROR(_xlfn.TEXTAFTER(Tabela131830[[#This Row],[File Name]], "/", -1),"")</calculatedColumnFormula>
    </tableColumn>
    <tableColumn id="6" xr3:uid="{A5EAA184-1676-4D5F-B7CD-4CE5F45AA9AB}" name="Symmetry2" dataDxfId="201"/>
    <tableColumn id="7" xr3:uid="{99D956DA-0949-4DE2-BBC7-C3611C243C88}" name="File Name2" dataDxfId="200"/>
    <tableColumn id="8" xr3:uid="{72149A74-7BEB-46A8-A834-E07CD542D0FC}" name="Database2" dataDxfId="199">
      <calculatedColumnFormula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3F37C79D-DB03-4E95-BEA3-EF627014B8F6}" name="File2" dataDxfId="198">
      <calculatedColumnFormula>IFERROR(_xlfn.TEXTAFTER(Tabela131830[[#This Row],[File Name2]], "/", -1),"")</calculatedColumnFormula>
    </tableColumn>
    <tableColumn id="10" xr3:uid="{FCDCB4CA-CAEC-4B79-947C-18756D4CE3C9}" name="Symmetry3" dataDxfId="197">
      <calculatedColumnFormula>IF(Tabela131830[[#This Row],[Symmetry]]="","",Tabela131830[[#This Row],[Symmetry]]=Tabela131830[[#This Row],[Symmetry2]])</calculatedColumnFormula>
    </tableColumn>
    <tableColumn id="11" xr3:uid="{4493227C-CF5E-4553-AA6C-D5FCA0EF2BC2}" name="Database3" dataDxfId="196">
      <calculatedColumnFormula>IF(Tabela131830[[#This Row],[Database]]="","",Tabela131830[[#This Row],[Database]]=Tabela131830[[#This Row],[Database2]])</calculatedColumnFormula>
    </tableColumn>
    <tableColumn id="13" xr3:uid="{7DC62EAB-C6D5-4F07-A133-84D00E02D066}" name="File3" dataDxfId="195">
      <calculatedColumnFormula>IF(Tabela131830[[#This Row],[File]]="","",Tabela131830[[#This Row],[File]]=Tabela131830[[#This Row],[File2]])</calculatedColumnFormula>
    </tableColumn>
  </tableColumns>
  <tableStyleInfo name="TableStyleMedium15" showFirstColumn="1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9E76E71-F29D-4101-98E6-C08F2CBA05D2}" name="Tabela13183037" displayName="Tabela13183037" ref="D26:O43" totalsRowShown="0" headerRowDxfId="194" dataDxfId="193" tableBorderDxfId="192">
  <tableColumns count="12">
    <tableColumn id="1" xr3:uid="{54422A7E-7EEF-43CD-BF75-DE7345289034}" name="Rear Suspension Property" dataDxfId="191"/>
    <tableColumn id="2" xr3:uid="{6A0EDE53-EB32-46E2-8541-C6C111D26D6B}" name="Symmetry" dataDxfId="190"/>
    <tableColumn id="3" xr3:uid="{D28DD30D-023F-41F4-8CAA-67EF3876EDA6}" name="File Name" dataDxfId="189"/>
    <tableColumn id="4" xr3:uid="{1E8B853E-2123-47B9-AF97-DF6ACE09A932}" name="Database" dataDxfId="188">
      <calculatedColumnFormula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C99C562F-39A8-4919-B149-73AA6CE6C232}" name="File" dataDxfId="187">
      <calculatedColumnFormula>IFERROR(_xlfn.TEXTAFTER(Tabela13183037[[#This Row],[File Name]], "/", -1),"")</calculatedColumnFormula>
    </tableColumn>
    <tableColumn id="6" xr3:uid="{FD25F4AB-BC8C-4776-9952-46ADC2359E21}" name="Symmetry2" dataDxfId="186"/>
    <tableColumn id="7" xr3:uid="{2AD34E5A-D6B0-4FF9-8FEE-064999C0560B}" name="File Name2" dataDxfId="185"/>
    <tableColumn id="8" xr3:uid="{271F284C-A19F-4A58-A5B8-72E7780136B0}" name="Database2" dataDxfId="184">
      <calculatedColumnFormula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FC6D5FD5-5927-40DB-89B6-02119E33C86A}" name="File2" dataDxfId="183">
      <calculatedColumnFormula>IFERROR(_xlfn.TEXTAFTER(Tabela13183037[[#This Row],[File Name2]], "/", -1),"")</calculatedColumnFormula>
    </tableColumn>
    <tableColumn id="10" xr3:uid="{5B9EE979-04B6-45BC-8E1B-4EE25D9C10CC}" name="Symmetry3" dataDxfId="182">
      <calculatedColumnFormula>IF(Tabela13183037[[#This Row],[Symmetry]]="","",Tabela13183037[[#This Row],[Symmetry]]=Tabela13183037[[#This Row],[Symmetry2]])</calculatedColumnFormula>
    </tableColumn>
    <tableColumn id="11" xr3:uid="{1F8E388E-EDA2-440B-B7A5-37DDE35D9207}" name="Database3" dataDxfId="181">
      <calculatedColumnFormula>IF(Tabela13183037[[#This Row],[Database]]="","",Tabela13183037[[#This Row],[Database]]=Tabela13183037[[#This Row],[Database2]])</calculatedColumnFormula>
    </tableColumn>
    <tableColumn id="12" xr3:uid="{FBB26546-DEAC-4796-81EE-70616F4BDB40}" name="File3" dataDxfId="180">
      <calculatedColumnFormula>IF(Tabela13183037[[#This Row],[File]]="","",Tabela13183037[[#This Row],[File]]=Tabela13183037[[#This Row],[File2]])</calculatedColumnFormula>
    </tableColumn>
  </tableColumns>
  <tableStyleInfo name="TableStyleMedium15" showFirstColumn="1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E5ED1B6-7159-46FB-B7A8-1A77F9FE21B6}" name="Tabela1318303738" displayName="Tabela1318303738" ref="D45:O52" totalsRowShown="0" headerRowDxfId="179" dataDxfId="178" tableBorderDxfId="177">
  <tableColumns count="12">
    <tableColumn id="1" xr3:uid="{9E82034B-5012-430A-A79A-B98C7442557F}" name="Steering Property" dataDxfId="176"/>
    <tableColumn id="2" xr3:uid="{B4B43FBA-D9FB-4420-BAB9-C19772857404}" name="Symmetry" dataDxfId="175"/>
    <tableColumn id="3" xr3:uid="{49B6CEF1-F69A-4D80-892B-6BF2F70F596D}" name="File Name" dataDxfId="174"/>
    <tableColumn id="4" xr3:uid="{C20CBE1A-8FE1-45A7-87C5-A604BDF998D6}" name="Database" dataDxfId="173">
      <calculatedColumnFormula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B2D7E584-C93E-4425-A52C-8E138AEA4B8E}" name="File" dataDxfId="172">
      <calculatedColumnFormula>IFERROR(_xlfn.TEXTAFTER(Tabela1318303738[[#This Row],[File Name]], "/", -1),"")</calculatedColumnFormula>
    </tableColumn>
    <tableColumn id="6" xr3:uid="{0C1D606C-CDBB-44A5-B5A7-FA04871398E4}" name="Symmetry2" dataDxfId="171"/>
    <tableColumn id="7" xr3:uid="{F250DB38-1312-404B-839A-BA3067B1E604}" name="File Name2" dataDxfId="170"/>
    <tableColumn id="8" xr3:uid="{22C817D5-5501-4B7B-8B6B-64F62913D7A5}" name="Database2" dataDxfId="169">
      <calculatedColumnFormula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AEAAD731-542B-4D90-BB70-437C7D63A449}" name="File2" dataDxfId="168">
      <calculatedColumnFormula>IFERROR(_xlfn.TEXTAFTER(Tabela1318303738[[#This Row],[File Name2]], "/", -1),"")</calculatedColumnFormula>
    </tableColumn>
    <tableColumn id="10" xr3:uid="{33FB542C-86FC-4D55-BFC9-D7B7A49D122C}" name="Symmetry3" dataDxfId="167">
      <calculatedColumnFormula>IF(Tabela1318303738[[#This Row],[Symmetry]]="","",Tabela1318303738[[#This Row],[Symmetry]]=Tabela1318303738[[#This Row],[Symmetry2]])</calculatedColumnFormula>
    </tableColumn>
    <tableColumn id="11" xr3:uid="{35AA23FA-9D41-406D-8C11-21EC3A0A79FA}" name="Database3" dataDxfId="166">
      <calculatedColumnFormula>IF(Tabela1318303738[[#This Row],[Database]]="","",Tabela1318303738[[#This Row],[Database]]=Tabela1318303738[[#This Row],[Database2]])</calculatedColumnFormula>
    </tableColumn>
    <tableColumn id="12" xr3:uid="{71EC0380-C4F7-4E3F-B41E-33976FEA4114}" name="File3" dataDxfId="165">
      <calculatedColumnFormula>IF(Tabela1318303738[[#This Row],[File]]="","",Tabela1318303738[[#This Row],[File]]=Tabela1318303738[[#This Row],[File2]])</calculatedColumnFormula>
    </tableColumn>
  </tableColumns>
  <tableStyleInfo name="TableStyleMedium15" showFirstColumn="1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08E38E9-715D-47C8-BA84-B308A527AAFE}" name="Tabela131830373839" displayName="Tabela131830373839" ref="D54:O73" totalsRowShown="0" headerRowDxfId="164" dataDxfId="163" tableBorderDxfId="162">
  <tableColumns count="12">
    <tableColumn id="1" xr3:uid="{296D3A3F-C905-4ADA-BB92-ADCF33A4EC54}" name="Engine Property" dataDxfId="161"/>
    <tableColumn id="2" xr3:uid="{439CDD5A-731C-4219-B8A5-CE519E94D7E5}" name="Symmetry" dataDxfId="160"/>
    <tableColumn id="3" xr3:uid="{C3FB5FC3-E826-4B20-A0FA-11C1B810A6D0}" name="File Name" dataDxfId="159"/>
    <tableColumn id="4" xr3:uid="{0F5346E6-7379-4569-84D9-BD485E08A597}" name="Database" dataDxfId="158">
      <calculatedColumnFormula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526B868F-F0EF-4D37-8B66-35860112D348}" name="File" dataDxfId="157">
      <calculatedColumnFormula>IFERROR(_xlfn.TEXTAFTER(Tabela131830373839[[#This Row],[File Name]], "/", -1),"")</calculatedColumnFormula>
    </tableColumn>
    <tableColumn id="6" xr3:uid="{752F23C4-C575-4BF0-A960-6AD32FB00576}" name="Symmetry2" dataDxfId="156"/>
    <tableColumn id="7" xr3:uid="{32E22DC7-46DD-44F7-A29B-0F240DCEFF85}" name="File Name2" dataDxfId="155"/>
    <tableColumn id="8" xr3:uid="{E3BA673F-1935-4707-A8C7-511DD9356AAB}" name="Database2" dataDxfId="154">
      <calculatedColumnFormula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8A4C4B82-3E96-42C8-9198-20D23C3F03BF}" name="File2" dataDxfId="153">
      <calculatedColumnFormula>IFERROR(_xlfn.TEXTAFTER(Tabela131830373839[[#This Row],[File Name2]], "/", -1),"")</calculatedColumnFormula>
    </tableColumn>
    <tableColumn id="10" xr3:uid="{AA43B41F-6B69-4DB5-B3A4-1A73840FC208}" name="Symmetry3" dataDxfId="152">
      <calculatedColumnFormula>IF(Tabela131830373839[[#This Row],[Symmetry]]="","",Tabela131830373839[[#This Row],[Symmetry]]=Tabela131830373839[[#This Row],[Symmetry2]])</calculatedColumnFormula>
    </tableColumn>
    <tableColumn id="11" xr3:uid="{82879CA2-55AE-47CC-8B0D-D44E123DC63E}" name="Database3" dataDxfId="151">
      <calculatedColumnFormula>IF(Tabela131830373839[[#This Row],[Database]]="","",Tabela131830373839[[#This Row],[Database]]=Tabela131830373839[[#This Row],[Database2]])</calculatedColumnFormula>
    </tableColumn>
    <tableColumn id="12" xr3:uid="{BF617FED-C6D3-4BEA-B1D5-EE0A2C9861C1}" name="File3" dataDxfId="150">
      <calculatedColumnFormula>IF(Tabela131830373839[[#This Row],[File]]="","",Tabela131830373839[[#This Row],[File]]=Tabela131830373839[[#This Row],[File2]])</calculatedColumnFormula>
    </tableColumn>
  </tableColumns>
  <tableStyleInfo name="TableStyleMedium15" showFirstColumn="1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714D7EC-FB5F-4BB9-898F-0A85005C491A}" name="Tabela13183037383940" displayName="Tabela13183037383940" ref="D75:O87" totalsRowShown="0" headerRowDxfId="149" dataDxfId="148" tableBorderDxfId="147">
  <tableColumns count="12">
    <tableColumn id="1" xr3:uid="{713A26B5-AB1A-494C-BBCE-B9BB89AC1FB5}" name="Powertrain Property" dataDxfId="146"/>
    <tableColumn id="2" xr3:uid="{5323B646-5ADF-45F3-9034-CB78C144234D}" name="Symmetry" dataDxfId="145"/>
    <tableColumn id="3" xr3:uid="{41C9CABE-5553-427D-97E0-9D4685390E02}" name="File Name" dataDxfId="144"/>
    <tableColumn id="4" xr3:uid="{E523FCCB-7171-4845-A6B8-32BFA1B773E9}" name="Database" dataDxfId="143">
      <calculatedColumnFormula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C41D2657-D4FF-49AE-BD38-D01AAB40FBD5}" name="File" dataDxfId="142">
      <calculatedColumnFormula>IFERROR(_xlfn.TEXTAFTER(Tabela13183037383940[[#This Row],[File Name]], "/", -1),"")</calculatedColumnFormula>
    </tableColumn>
    <tableColumn id="6" xr3:uid="{D1BCA285-DAF0-4B47-96A3-BACA24CE6F41}" name="Symmetry2" dataDxfId="141"/>
    <tableColumn id="7" xr3:uid="{9DD74115-A4CD-46B2-9917-0F7651E97A9A}" name="File Name2" dataDxfId="140"/>
    <tableColumn id="8" xr3:uid="{38731936-1808-44CD-A422-AD832ED435DC}" name="Database2" dataDxfId="139">
      <calculatedColumnFormula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745CE410-BD8B-406F-9E9D-2DEE3AC1C4B4}" name="File2" dataDxfId="138">
      <calculatedColumnFormula>IFERROR(_xlfn.TEXTAFTER(Tabela13183037383940[[#This Row],[File Name2]], "/", -1),"")</calculatedColumnFormula>
    </tableColumn>
    <tableColumn id="10" xr3:uid="{1E924F60-BD79-48E5-AC9C-B537139053A8}" name="Symmetry3" dataDxfId="137">
      <calculatedColumnFormula>IF(Tabela13183037383940[[#This Row],[Symmetry]]="","",Tabela13183037383940[[#This Row],[Symmetry]]=Tabela13183037383940[[#This Row],[Symmetry2]])</calculatedColumnFormula>
    </tableColumn>
    <tableColumn id="11" xr3:uid="{8583E623-16FE-4500-972F-EC89DC507B6F}" name="Database3" dataDxfId="136">
      <calculatedColumnFormula>IF(Tabela13183037383940[[#This Row],[Database]]="","",Tabela13183037383940[[#This Row],[Database]]=Tabela13183037383940[[#This Row],[Database2]])</calculatedColumnFormula>
    </tableColumn>
    <tableColumn id="12" xr3:uid="{54058C1A-473E-42D4-8236-33DEB289938A}" name="File3" dataDxfId="135">
      <calculatedColumnFormula>IF(Tabela13183037383940[[#This Row],[File]]="","",Tabela13183037383940[[#This Row],[File]]=Tabela13183037383940[[#This Row],[File2]])</calculatedColumnFormula>
    </tableColumn>
  </tableColumns>
  <tableStyleInfo name="TableStyleMedium15" showFirstColumn="1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099FD97-2D08-4332-9CD9-E70F8B1B426D}" name="Tabela1318303738394041" displayName="Tabela1318303738394041" ref="D89:O99" totalsRowShown="0" headerRowDxfId="134" dataDxfId="133" tableBorderDxfId="132">
  <tableColumns count="12">
    <tableColumn id="1" xr3:uid="{D3FE7764-9631-4338-9D5C-AE594A810515}" name="Body Property" dataDxfId="131"/>
    <tableColumn id="2" xr3:uid="{1A74181F-9762-4651-B5E0-4778009E9B79}" name="Symmetry" dataDxfId="130"/>
    <tableColumn id="3" xr3:uid="{965238AC-A35B-4F41-89BF-290449F9255A}" name="File Name" dataDxfId="129"/>
    <tableColumn id="4" xr3:uid="{52457439-5EF5-463C-AE43-0187F7966942}" name="Database" dataDxfId="128">
      <calculatedColumnFormula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7548C3FC-0ACA-4B6C-9A48-2C2EC12317B1}" name="File" dataDxfId="127">
      <calculatedColumnFormula>IFERROR(_xlfn.TEXTAFTER(Tabela1318303738394041[[#This Row],[File Name]], "/", -1),"")</calculatedColumnFormula>
    </tableColumn>
    <tableColumn id="6" xr3:uid="{8B5C265C-6D83-4051-859C-DDE8D5303956}" name="Symmetry2" dataDxfId="126"/>
    <tableColumn id="7" xr3:uid="{779525D3-1498-4C91-8AED-DD38D0D0BC43}" name="File Name2" dataDxfId="125"/>
    <tableColumn id="8" xr3:uid="{7DCE2363-41E7-4B89-B3EB-6173681BF418}" name="Database2" dataDxfId="124">
      <calculatedColumnFormula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F309D71F-3E72-45CA-987D-DE0CE25CCADA}" name="File2" dataDxfId="123">
      <calculatedColumnFormula>IFERROR(_xlfn.TEXTAFTER(Tabela1318303738394041[[#This Row],[File Name2]], "/", -1),"")</calculatedColumnFormula>
    </tableColumn>
    <tableColumn id="10" xr3:uid="{91F5D5EB-B8C5-4D8E-B425-BFE577DB570A}" name="Symmetry3" dataDxfId="122">
      <calculatedColumnFormula>IF(Tabela1318303738394041[[#This Row],[Symmetry]]="","",Tabela1318303738394041[[#This Row],[Symmetry]]=Tabela1318303738394041[[#This Row],[Symmetry2]])</calculatedColumnFormula>
    </tableColumn>
    <tableColumn id="11" xr3:uid="{2CAFCD7E-0F68-4759-AE28-7B5578FFD584}" name="Database3" dataDxfId="121">
      <calculatedColumnFormula>IF(Tabela1318303738394041[[#This Row],[Database]]="","",Tabela1318303738394041[[#This Row],[Database]]=Tabela1318303738394041[[#This Row],[Database2]])</calculatedColumnFormula>
    </tableColumn>
    <tableColumn id="12" xr3:uid="{5CDF82BC-8568-4545-9FFD-5F32D8F0C14E}" name="File3" dataDxfId="120">
      <calculatedColumnFormula>IF(Tabela1318303738394041[[#This Row],[File]]="","",Tabela1318303738394041[[#This Row],[File]]=Tabela1318303738394041[[#This Row],[File2]])</calculatedColumnFormula>
    </tableColumn>
  </tableColumns>
  <tableStyleInfo name="TableStyleMedium15" showFirstColumn="1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D8FA18D0-FE0A-474B-95DD-BBC4CFC55E09}" name="Tabela131830373839404142" displayName="Tabela131830373839404142" ref="D101:O105" totalsRowShown="0" headerRowDxfId="119" dataDxfId="118" tableBorderDxfId="117">
  <tableColumns count="12">
    <tableColumn id="1" xr3:uid="{C0E6D67E-3680-4332-B9D2-D3C7D7CED9F1}" name="Front ARB Property" dataDxfId="116"/>
    <tableColumn id="2" xr3:uid="{70A287C1-D4F1-4C37-B599-B2B2EF424BD2}" name="Symmetry" dataDxfId="115"/>
    <tableColumn id="3" xr3:uid="{D628DEEA-FC9B-425B-9B1D-326C4F53C15A}" name="File Name" dataDxfId="114"/>
    <tableColumn id="4" xr3:uid="{C6A520C9-E806-4E24-88B0-7ACAA6081847}" name="Database" dataDxfId="113">
      <calculatedColumnFormula>IFERROR(_xlfn.LET(
    _xlpm.txt, TRIM(SUBSTITUTE(SUBSTITUTE(Tabela131830373839404142[[#This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E2E1ECCF-6EBA-4DD9-A2BF-73404668339E}" name="File" dataDxfId="112">
      <calculatedColumnFormula>IFERROR(_xlfn.TEXTAFTER(Tabela131830373839404142[[#This Row],[File Name]], "/", -1),"")</calculatedColumnFormula>
    </tableColumn>
    <tableColumn id="6" xr3:uid="{1971FC50-415C-4F32-A932-118E72BFFBCA}" name="Symmetry2" dataDxfId="111"/>
    <tableColumn id="7" xr3:uid="{8513E55B-6AF7-410F-A28E-87254270835C}" name="File Name2" dataDxfId="110"/>
    <tableColumn id="8" xr3:uid="{CE5E78C6-D44F-4FBC-AA77-2C6FE9F4D8CE}" name="Database2" dataDxfId="109">
      <calculatedColumnFormula>IFERROR(_xlfn.LET(
    _xlpm.txt, TRIM(SUBSTITUTE(SUBSTITUTE(Tabela131830373839404142[[#This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1D1B9F84-4E9C-4905-B77D-D7BAE5F3F107}" name="File2" dataDxfId="108">
      <calculatedColumnFormula>IFERROR(_xlfn.TEXTAFTER(Tabela131830373839404142[[#This Row],[File Name2]], "/", -1),"")</calculatedColumnFormula>
    </tableColumn>
    <tableColumn id="10" xr3:uid="{EE67D879-9E97-4D75-A847-9314089C4F1E}" name="Symmetry3" dataDxfId="107">
      <calculatedColumnFormula>IF(Tabela131830373839404142[[#This Row],[Symmetry]]="","",Tabela131830373839404142[[#This Row],[Symmetry]]=Tabela131830373839404142[[#This Row],[Symmetry2]])</calculatedColumnFormula>
    </tableColumn>
    <tableColumn id="11" xr3:uid="{96D60B25-5213-4C5B-B816-B02A9746E63A}" name="Database3" dataDxfId="106">
      <calculatedColumnFormula>IF(Tabela131830373839404142[[#This Row],[Database]]="","",Tabela131830373839404142[[#This Row],[Database]]=Tabela131830373839404142[[#This Row],[Database2]])</calculatedColumnFormula>
    </tableColumn>
    <tableColumn id="12" xr3:uid="{F41EB0E1-2FD1-49F5-918F-3EA15E368988}" name="File3" dataDxfId="105">
      <calculatedColumnFormula>IF(Tabela131830373839404142[[#This Row],[File]]="","",Tabela131830373839404142[[#This Row],[File]]=Tabela131830373839404142[[#This Row],[File2]])</calculatedColumnFormula>
    </tableColumn>
  </tableColumns>
  <tableStyleInfo name="TableStyleMedium15" showFirstColumn="1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E6B670C-C0B1-43EA-A82F-573E92E291C8}" name="Tabela13183037383940414243" displayName="Tabela13183037383940414243" ref="D107:O111" totalsRowShown="0" headerRowDxfId="104" dataDxfId="103" tableBorderDxfId="102">
  <tableColumns count="12">
    <tableColumn id="1" xr3:uid="{5EB4C380-5B28-4308-88DB-F74F95955ECB}" name="Rear ARB Property" dataDxfId="101"/>
    <tableColumn id="2" xr3:uid="{DFB2AF6C-0805-4286-9922-C60B4B00C371}" name="Symmetry" dataDxfId="100"/>
    <tableColumn id="3" xr3:uid="{7DB76076-A8D4-4D24-8A75-74C4A84C8DF5}" name="File Name" dataDxfId="99"/>
    <tableColumn id="4" xr3:uid="{504992EF-C0FF-46D3-A401-5093F1841F7C}" name="Database" dataDxfId="98">
      <calculatedColumnFormula>IFERROR(_xlfn.LET(
    _xlpm.txt, TRIM(SUBSTITUTE(SUBSTITUTE(Tabela13183037383940414243[[#This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8DD08C90-3B7B-4B5D-8179-69833482F3D5}" name="File" dataDxfId="97">
      <calculatedColumnFormula>IFERROR(_xlfn.TEXTAFTER(Tabela13183037383940414243[[#This Row],[File Name]], "/", -1),"")</calculatedColumnFormula>
    </tableColumn>
    <tableColumn id="6" xr3:uid="{4A70FD93-4996-4E8C-B41A-A6E1D4F06C58}" name="Symmetry2" dataDxfId="96"/>
    <tableColumn id="7" xr3:uid="{EACF0E4A-E8BC-4BAD-850E-0D87ABB12308}" name="File Name2" dataDxfId="95"/>
    <tableColumn id="8" xr3:uid="{79034F3F-54A4-43CF-9D72-1AA9AB4EBC74}" name="Database2" dataDxfId="94">
      <calculatedColumnFormula>IFERROR(_xlfn.LET(
    _xlpm.txt, TRIM(SUBSTITUTE(SUBSTITUTE(Tabela13183037383940414243[[#This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00346404-1DD9-47AD-8D8E-F4C0C248EF93}" name="File2" dataDxfId="93">
      <calculatedColumnFormula>IFERROR(_xlfn.TEXTAFTER(Tabela13183037383940414243[[#This Row],[File Name2]], "/", -1),"")</calculatedColumnFormula>
    </tableColumn>
    <tableColumn id="10" xr3:uid="{3F37DD82-6C81-423E-8F98-C02567BF8A82}" name="Symmetry3" dataDxfId="92">
      <calculatedColumnFormula>IF(Tabela13183037383940414243[[#This Row],[Symmetry]]="","",Tabela13183037383940414243[[#This Row],[Symmetry]]=Tabela13183037383940414243[[#This Row],[Symmetry2]])</calculatedColumnFormula>
    </tableColumn>
    <tableColumn id="11" xr3:uid="{B6995935-524D-4808-96EE-FDC96BB61DDB}" name="Database3" dataDxfId="91">
      <calculatedColumnFormula>IF(Tabela13183037383940414243[[#This Row],[Database]]="","",Tabela13183037383940414243[[#This Row],[Database]]=Tabela13183037383940414243[[#This Row],[Database2]])</calculatedColumnFormula>
    </tableColumn>
    <tableColumn id="12" xr3:uid="{2D9F98AC-EB6F-4E82-85B9-D73562EB79A0}" name="File3" dataDxfId="90">
      <calculatedColumnFormula>IF(Tabela13183037383940414243[[#This Row],[File]]="","",Tabela13183037383940414243[[#This Row],[File]]=Tabela13183037383940414243[[#This Row],[File2]])</calculatedColumnFormula>
    </tableColumn>
  </tableColumns>
  <tableStyleInfo name="TableStyleMedium15"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2C421-AE74-4200-B770-B72DDC651BFD}" name="Tabela13183037383912" displayName="Tabela13183037383912" ref="D113:O132" totalsRowShown="0" headerRowDxfId="89" dataDxfId="88" tableBorderDxfId="87">
  <tableColumns count="12">
    <tableColumn id="1" xr3:uid="{D04DBAC2-8DAE-4DC2-8FA7-6B94F6632D9D}" name="EDM Property" dataDxfId="86"/>
    <tableColumn id="2" xr3:uid="{AECCC457-4CCB-4B72-AF00-17ADB62DAFE9}" name="Symmetry" dataDxfId="85"/>
    <tableColumn id="3" xr3:uid="{381C7ABB-3FA2-48A1-9699-98F9000AEED7}" name="File Name" dataDxfId="84"/>
    <tableColumn id="4" xr3:uid="{D2352541-9573-48FD-9949-0A4F7695B930}" name="Database" dataDxfId="83">
      <calculatedColumnFormula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5" xr3:uid="{F5E260F8-24E7-40E4-956E-2DD160B3B49E}" name="File" dataDxfId="82">
      <calculatedColumnFormula>IFERROR(_xlfn.TEXTAFTER(Tabela13183037383912[[#This Row],[File Name]], "/", -1),"")</calculatedColumnFormula>
    </tableColumn>
    <tableColumn id="6" xr3:uid="{93CDE4DF-FE42-4B51-91E4-855D778F22C1}" name="Symmetry2" dataDxfId="81"/>
    <tableColumn id="7" xr3:uid="{E251A24F-EE60-43CF-BC38-8F86ECAD6048}" name="File Name2" dataDxfId="80"/>
    <tableColumn id="8" xr3:uid="{AE0FC9C1-029F-4B5D-A547-A4F09E9A46A1}" name="Database2" dataDxfId="79">
      <calculatedColumnFormula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calculatedColumnFormula>
    </tableColumn>
    <tableColumn id="9" xr3:uid="{D7D8BDD3-6865-40ED-9002-A89182C5778B}" name="File2" dataDxfId="78">
      <calculatedColumnFormula>IFERROR(_xlfn.TEXTAFTER(Tabela13183037383912[[#This Row],[File Name2]], "/", -1),"")</calculatedColumnFormula>
    </tableColumn>
    <tableColumn id="10" xr3:uid="{A4C770F4-6A43-4279-8B2B-3A4D247C7FBC}" name="Symmetry3" dataDxfId="77">
      <calculatedColumnFormula>IF(Tabela13183037383912[[#This Row],[Symmetry]]="","",Tabela13183037383912[[#This Row],[Symmetry]]=Tabela13183037383912[[#This Row],[Symmetry2]])</calculatedColumnFormula>
    </tableColumn>
    <tableColumn id="11" xr3:uid="{E138464A-5419-4B19-B85D-F4C4AA127AAB}" name="Database3" dataDxfId="76">
      <calculatedColumnFormula>IF(Tabela13183037383912[[#This Row],[Database]]="","",Tabela13183037383912[[#This Row],[Database]]=Tabela13183037383912[[#This Row],[Database2]])</calculatedColumnFormula>
    </tableColumn>
    <tableColumn id="12" xr3:uid="{2CC2104B-5629-4002-A00B-BC1BF3FE1D1C}" name="File3" dataDxfId="75">
      <calculatedColumnFormula>IF(Tabela13183037383912[[#This Row],[File]]="","",Tabela13183037383912[[#This Row],[File]]=Tabela13183037383912[[#This Row],[File2]])</calculatedColumnFormula>
    </tableColumn>
  </tableColumns>
  <tableStyleInfo name="TableStyleMedium15" showFirstColumn="1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table" Target="../tables/table21.xml"/><Relationship Id="rId1" Type="http://schemas.openxmlformats.org/officeDocument/2006/relationships/drawing" Target="../drawings/drawing4.xml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10" Type="http://schemas.openxmlformats.org/officeDocument/2006/relationships/table" Target="../tables/table29.xml"/><Relationship Id="rId4" Type="http://schemas.openxmlformats.org/officeDocument/2006/relationships/table" Target="../tables/table23.xml"/><Relationship Id="rId9" Type="http://schemas.openxmlformats.org/officeDocument/2006/relationships/table" Target="../tables/table2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EDD1-0658-4A4B-A107-8FCB0199F659}">
  <sheetPr codeName="Planilha3"/>
  <dimension ref="A1:Z36"/>
  <sheetViews>
    <sheetView showGridLines="0" zoomScaleNormal="100" workbookViewId="0">
      <selection activeCell="H30" sqref="H30"/>
    </sheetView>
  </sheetViews>
  <sheetFormatPr defaultRowHeight="14.25" x14ac:dyDescent="0.45"/>
  <cols>
    <col min="2" max="3" width="9.1328125" customWidth="1"/>
    <col min="5" max="5" width="9.1328125" customWidth="1"/>
    <col min="18" max="18" width="5.86328125" bestFit="1" customWidth="1"/>
    <col min="41" max="41" width="6.19921875" bestFit="1" customWidth="1"/>
  </cols>
  <sheetData>
    <row r="1" spans="1:26" ht="39" customHeight="1" x14ac:dyDescent="0.45">
      <c r="A1" s="154" t="s">
        <v>457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</row>
    <row r="2" spans="1:26" x14ac:dyDescent="0.45">
      <c r="A2" s="155"/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</row>
    <row r="3" spans="1:26" ht="14.25" customHeight="1" x14ac:dyDescent="0.45">
      <c r="R3" s="156" t="s">
        <v>456</v>
      </c>
      <c r="S3" s="156"/>
      <c r="T3" s="156"/>
      <c r="U3" s="156"/>
      <c r="V3" s="156"/>
      <c r="W3" s="156"/>
      <c r="X3" s="156"/>
      <c r="Y3" s="156"/>
      <c r="Z3" s="156"/>
    </row>
    <row r="4" spans="1:26" ht="14.25" customHeight="1" x14ac:dyDescent="0.45">
      <c r="R4" s="119"/>
      <c r="S4" s="119"/>
      <c r="T4" s="119"/>
      <c r="U4" s="119"/>
      <c r="V4" s="119"/>
      <c r="W4" s="119"/>
      <c r="X4" s="119"/>
      <c r="Y4" s="119"/>
      <c r="Z4" s="119"/>
    </row>
    <row r="5" spans="1:26" ht="14.65" thickBot="1" x14ac:dyDescent="0.5">
      <c r="B5" s="117"/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</row>
    <row r="6" spans="1:26" ht="14.25" customHeight="1" x14ac:dyDescent="0.45">
      <c r="B6" s="117"/>
      <c r="C6" s="145" t="s">
        <v>458</v>
      </c>
      <c r="D6" s="146"/>
      <c r="E6" s="146"/>
      <c r="F6" s="146"/>
      <c r="G6" s="146"/>
      <c r="H6" s="146"/>
      <c r="I6" s="146"/>
      <c r="J6" s="146"/>
      <c r="K6" s="146"/>
      <c r="L6" s="147"/>
      <c r="M6" s="117"/>
      <c r="N6" s="117"/>
      <c r="O6" s="117"/>
      <c r="P6" s="117"/>
      <c r="Q6" s="125" t="s">
        <v>467</v>
      </c>
      <c r="R6" s="126"/>
      <c r="S6" s="126"/>
      <c r="T6" s="126"/>
      <c r="U6" s="126"/>
      <c r="V6" s="126"/>
      <c r="W6" s="126"/>
      <c r="X6" s="126"/>
      <c r="Y6" s="127"/>
      <c r="Z6" s="117"/>
    </row>
    <row r="7" spans="1:26" ht="14.25" customHeight="1" x14ac:dyDescent="0.45">
      <c r="B7" s="117"/>
      <c r="C7" s="148"/>
      <c r="D7" s="149"/>
      <c r="E7" s="149"/>
      <c r="F7" s="149"/>
      <c r="G7" s="149"/>
      <c r="H7" s="149"/>
      <c r="I7" s="149"/>
      <c r="J7" s="149"/>
      <c r="K7" s="149"/>
      <c r="L7" s="150"/>
      <c r="M7" s="117"/>
      <c r="N7" s="117"/>
      <c r="O7" s="117"/>
      <c r="P7" s="117"/>
      <c r="Q7" s="128"/>
      <c r="R7" s="129"/>
      <c r="S7" s="129"/>
      <c r="T7" s="129"/>
      <c r="U7" s="129"/>
      <c r="V7" s="129"/>
      <c r="W7" s="129"/>
      <c r="X7" s="129"/>
      <c r="Y7" s="130"/>
      <c r="Z7" s="117"/>
    </row>
    <row r="8" spans="1:26" ht="14.25" customHeight="1" thickBot="1" x14ac:dyDescent="0.5">
      <c r="B8" s="117"/>
      <c r="C8" s="151"/>
      <c r="D8" s="152"/>
      <c r="E8" s="152"/>
      <c r="F8" s="152"/>
      <c r="G8" s="152"/>
      <c r="H8" s="152"/>
      <c r="I8" s="152"/>
      <c r="J8" s="152"/>
      <c r="K8" s="152"/>
      <c r="L8" s="153"/>
      <c r="M8" s="117"/>
      <c r="N8" s="117"/>
      <c r="O8" s="117"/>
      <c r="P8" s="117"/>
      <c r="Q8" s="128"/>
      <c r="R8" s="129"/>
      <c r="S8" s="129"/>
      <c r="T8" s="129"/>
      <c r="U8" s="129"/>
      <c r="V8" s="129"/>
      <c r="W8" s="129"/>
      <c r="X8" s="129"/>
      <c r="Y8" s="130"/>
      <c r="Z8" s="117"/>
    </row>
    <row r="9" spans="1:26" ht="14.25" customHeight="1" x14ac:dyDescent="0.45">
      <c r="B9" s="117"/>
      <c r="C9" s="132" t="s">
        <v>459</v>
      </c>
      <c r="D9" s="137" t="s">
        <v>481</v>
      </c>
      <c r="E9" s="138"/>
      <c r="F9" s="138"/>
      <c r="G9" s="138"/>
      <c r="H9" s="138"/>
      <c r="I9" s="138"/>
      <c r="J9" s="138"/>
      <c r="K9" s="138"/>
      <c r="L9" s="139"/>
      <c r="M9" s="117"/>
      <c r="N9" s="117"/>
      <c r="O9" s="117"/>
      <c r="P9" s="117"/>
      <c r="Q9" s="167" t="s">
        <v>459</v>
      </c>
      <c r="R9" s="165"/>
      <c r="S9" s="166"/>
      <c r="T9" s="166"/>
      <c r="U9" s="166"/>
      <c r="V9" s="166"/>
      <c r="W9" s="166"/>
      <c r="X9" s="166"/>
      <c r="Y9" s="168"/>
      <c r="Z9" s="117"/>
    </row>
    <row r="10" spans="1:26" ht="14.25" customHeight="1" x14ac:dyDescent="0.45">
      <c r="B10" s="117"/>
      <c r="C10" s="132"/>
      <c r="D10" s="137"/>
      <c r="E10" s="138"/>
      <c r="F10" s="138"/>
      <c r="G10" s="138"/>
      <c r="H10" s="138"/>
      <c r="I10" s="138"/>
      <c r="J10" s="138"/>
      <c r="K10" s="138"/>
      <c r="L10" s="139"/>
      <c r="M10" s="117"/>
      <c r="N10" s="117"/>
      <c r="O10" s="117"/>
      <c r="P10" s="117"/>
      <c r="Q10" s="167" t="s">
        <v>460</v>
      </c>
      <c r="R10" s="165"/>
      <c r="S10" s="166"/>
      <c r="T10" s="166"/>
      <c r="U10" s="166"/>
      <c r="V10" s="166"/>
      <c r="W10" s="166"/>
      <c r="X10" s="166"/>
      <c r="Y10" s="168"/>
      <c r="Z10" s="117"/>
    </row>
    <row r="11" spans="1:26" ht="18.399999999999999" customHeight="1" x14ac:dyDescent="0.8">
      <c r="A11" s="109"/>
      <c r="B11" s="117"/>
      <c r="C11" s="132"/>
      <c r="D11" s="137"/>
      <c r="E11" s="138"/>
      <c r="F11" s="138"/>
      <c r="G11" s="138"/>
      <c r="H11" s="138"/>
      <c r="I11" s="138"/>
      <c r="J11" s="138"/>
      <c r="K11" s="138"/>
      <c r="L11" s="139"/>
      <c r="M11" s="117"/>
      <c r="N11" s="117"/>
      <c r="O11" s="117"/>
      <c r="P11" s="117"/>
      <c r="Q11" s="167" t="s">
        <v>461</v>
      </c>
      <c r="R11" s="165"/>
      <c r="S11" s="166"/>
      <c r="T11" s="166"/>
      <c r="U11" s="166"/>
      <c r="V11" s="166"/>
      <c r="W11" s="166"/>
      <c r="X11" s="166"/>
      <c r="Y11" s="168"/>
      <c r="Z11" s="117"/>
    </row>
    <row r="12" spans="1:26" ht="14.25" customHeight="1" x14ac:dyDescent="0.45">
      <c r="B12" s="117"/>
      <c r="C12" s="132"/>
      <c r="D12" s="137"/>
      <c r="E12" s="138"/>
      <c r="F12" s="138"/>
      <c r="G12" s="138"/>
      <c r="H12" s="138"/>
      <c r="I12" s="138"/>
      <c r="J12" s="138"/>
      <c r="K12" s="138"/>
      <c r="L12" s="139"/>
      <c r="M12" s="117"/>
      <c r="N12" s="117"/>
      <c r="O12" s="117"/>
      <c r="P12" s="117"/>
      <c r="Q12" s="167" t="s">
        <v>462</v>
      </c>
      <c r="R12" s="165"/>
      <c r="S12" s="166"/>
      <c r="T12" s="166"/>
      <c r="U12" s="166"/>
      <c r="V12" s="166"/>
      <c r="W12" s="166"/>
      <c r="X12" s="166"/>
      <c r="Y12" s="168"/>
      <c r="Z12" s="117"/>
    </row>
    <row r="13" spans="1:26" ht="14.25" customHeight="1" x14ac:dyDescent="0.45">
      <c r="B13" s="117"/>
      <c r="C13" s="143"/>
      <c r="D13" s="140"/>
      <c r="E13" s="141"/>
      <c r="F13" s="141"/>
      <c r="G13" s="141"/>
      <c r="H13" s="141"/>
      <c r="I13" s="141"/>
      <c r="J13" s="141"/>
      <c r="K13" s="141"/>
      <c r="L13" s="142"/>
      <c r="M13" s="117"/>
      <c r="N13" s="117"/>
      <c r="O13" s="117"/>
      <c r="P13" s="117"/>
      <c r="Q13" s="167" t="s">
        <v>463</v>
      </c>
      <c r="R13" s="165"/>
      <c r="S13" s="166"/>
      <c r="T13" s="166"/>
      <c r="U13" s="166"/>
      <c r="V13" s="166"/>
      <c r="W13" s="166"/>
      <c r="X13" s="166"/>
      <c r="Y13" s="168"/>
      <c r="Z13" s="117"/>
    </row>
    <row r="14" spans="1:26" ht="14.25" customHeight="1" x14ac:dyDescent="0.45">
      <c r="B14" s="117"/>
      <c r="C14" s="131" t="s">
        <v>460</v>
      </c>
      <c r="D14" s="144" t="s">
        <v>466</v>
      </c>
      <c r="E14" s="135"/>
      <c r="F14" s="135"/>
      <c r="G14" s="135"/>
      <c r="H14" s="135"/>
      <c r="I14" s="135"/>
      <c r="J14" s="135"/>
      <c r="K14" s="135"/>
      <c r="L14" s="136"/>
      <c r="M14" s="117"/>
      <c r="N14" s="117"/>
      <c r="O14" s="117"/>
      <c r="P14" s="117"/>
      <c r="Q14" s="167" t="s">
        <v>464</v>
      </c>
      <c r="R14" s="165"/>
      <c r="S14" s="166"/>
      <c r="T14" s="166"/>
      <c r="U14" s="166"/>
      <c r="V14" s="166"/>
      <c r="W14" s="166"/>
      <c r="X14" s="166"/>
      <c r="Y14" s="168"/>
      <c r="Z14" s="117"/>
    </row>
    <row r="15" spans="1:26" ht="14.25" customHeight="1" x14ac:dyDescent="0.45">
      <c r="B15" s="117"/>
      <c r="C15" s="132"/>
      <c r="D15" s="137"/>
      <c r="E15" s="138"/>
      <c r="F15" s="138"/>
      <c r="G15" s="138"/>
      <c r="H15" s="138"/>
      <c r="I15" s="138"/>
      <c r="J15" s="138"/>
      <c r="K15" s="138"/>
      <c r="L15" s="139"/>
      <c r="M15" s="117"/>
      <c r="N15" s="117"/>
      <c r="O15" s="117"/>
      <c r="P15" s="117"/>
      <c r="Q15" s="167" t="s">
        <v>465</v>
      </c>
      <c r="R15" s="165"/>
      <c r="S15" s="166"/>
      <c r="T15" s="166"/>
      <c r="U15" s="166"/>
      <c r="V15" s="166"/>
      <c r="W15" s="166"/>
      <c r="X15" s="166"/>
      <c r="Y15" s="168"/>
      <c r="Z15" s="117"/>
    </row>
    <row r="16" spans="1:26" ht="14.25" customHeight="1" x14ac:dyDescent="0.45">
      <c r="B16" s="117"/>
      <c r="C16" s="132"/>
      <c r="D16" s="137"/>
      <c r="E16" s="138"/>
      <c r="F16" s="138"/>
      <c r="G16" s="138"/>
      <c r="H16" s="138"/>
      <c r="I16" s="138"/>
      <c r="J16" s="138"/>
      <c r="K16" s="138"/>
      <c r="L16" s="139"/>
      <c r="M16" s="117"/>
      <c r="N16" s="117"/>
      <c r="O16" s="117"/>
      <c r="P16" s="117"/>
      <c r="Q16" s="167" t="s">
        <v>468</v>
      </c>
      <c r="R16" s="165"/>
      <c r="S16" s="166"/>
      <c r="T16" s="166"/>
      <c r="U16" s="166"/>
      <c r="V16" s="166"/>
      <c r="W16" s="166"/>
      <c r="X16" s="166"/>
      <c r="Y16" s="168"/>
      <c r="Z16" s="117"/>
    </row>
    <row r="17" spans="2:26" ht="14.25" customHeight="1" x14ac:dyDescent="0.45">
      <c r="B17" s="117"/>
      <c r="C17" s="132"/>
      <c r="D17" s="137"/>
      <c r="E17" s="138"/>
      <c r="F17" s="138"/>
      <c r="G17" s="138"/>
      <c r="H17" s="138"/>
      <c r="I17" s="138"/>
      <c r="J17" s="138"/>
      <c r="K17" s="138"/>
      <c r="L17" s="139"/>
      <c r="M17" s="117"/>
      <c r="N17" s="117"/>
      <c r="O17" s="117"/>
      <c r="P17" s="117"/>
      <c r="Q17" s="167" t="s">
        <v>469</v>
      </c>
      <c r="R17" s="165"/>
      <c r="S17" s="166"/>
      <c r="T17" s="166"/>
      <c r="U17" s="166"/>
      <c r="V17" s="166"/>
      <c r="W17" s="166"/>
      <c r="X17" s="166"/>
      <c r="Y17" s="168"/>
      <c r="Z17" s="117"/>
    </row>
    <row r="18" spans="2:26" ht="14.25" customHeight="1" x14ac:dyDescent="0.45">
      <c r="B18" s="117"/>
      <c r="C18" s="143"/>
      <c r="D18" s="140"/>
      <c r="E18" s="141"/>
      <c r="F18" s="141"/>
      <c r="G18" s="141"/>
      <c r="H18" s="141"/>
      <c r="I18" s="141"/>
      <c r="J18" s="141"/>
      <c r="K18" s="141"/>
      <c r="L18" s="142"/>
      <c r="M18" s="117"/>
      <c r="N18" s="117"/>
      <c r="O18" s="117"/>
      <c r="P18" s="117"/>
      <c r="Q18" s="167" t="s">
        <v>470</v>
      </c>
      <c r="R18" s="165"/>
      <c r="S18" s="166"/>
      <c r="T18" s="166"/>
      <c r="U18" s="166"/>
      <c r="V18" s="166"/>
      <c r="W18" s="166"/>
      <c r="X18" s="166"/>
      <c r="Y18" s="168"/>
      <c r="Z18" s="117"/>
    </row>
    <row r="19" spans="2:26" ht="14.25" customHeight="1" x14ac:dyDescent="0.45">
      <c r="B19" s="117"/>
      <c r="C19" s="131" t="s">
        <v>461</v>
      </c>
      <c r="D19" s="134" t="s">
        <v>484</v>
      </c>
      <c r="E19" s="135"/>
      <c r="F19" s="135"/>
      <c r="G19" s="135"/>
      <c r="H19" s="135"/>
      <c r="I19" s="135"/>
      <c r="J19" s="135"/>
      <c r="K19" s="135"/>
      <c r="L19" s="136"/>
      <c r="M19" s="117"/>
      <c r="N19" s="117"/>
      <c r="O19" s="117"/>
      <c r="P19" s="117"/>
      <c r="Q19" s="167" t="s">
        <v>471</v>
      </c>
      <c r="R19" s="165"/>
      <c r="S19" s="166"/>
      <c r="T19" s="166"/>
      <c r="U19" s="166"/>
      <c r="V19" s="166"/>
      <c r="W19" s="166"/>
      <c r="X19" s="166"/>
      <c r="Y19" s="168"/>
      <c r="Z19" s="117"/>
    </row>
    <row r="20" spans="2:26" ht="14.25" customHeight="1" x14ac:dyDescent="0.45">
      <c r="B20" s="117"/>
      <c r="C20" s="132"/>
      <c r="D20" s="137"/>
      <c r="E20" s="138"/>
      <c r="F20" s="138"/>
      <c r="G20" s="138"/>
      <c r="H20" s="138"/>
      <c r="I20" s="138"/>
      <c r="J20" s="138"/>
      <c r="K20" s="138"/>
      <c r="L20" s="139"/>
      <c r="M20" s="117"/>
      <c r="N20" s="117"/>
      <c r="O20" s="117"/>
      <c r="P20" s="117"/>
      <c r="Q20" s="167" t="s">
        <v>472</v>
      </c>
      <c r="R20" s="165"/>
      <c r="S20" s="166"/>
      <c r="T20" s="166"/>
      <c r="U20" s="166"/>
      <c r="V20" s="166"/>
      <c r="W20" s="166"/>
      <c r="X20" s="166"/>
      <c r="Y20" s="168"/>
      <c r="Z20" s="117"/>
    </row>
    <row r="21" spans="2:26" ht="14.25" customHeight="1" x14ac:dyDescent="0.45">
      <c r="B21" s="117"/>
      <c r="C21" s="132"/>
      <c r="D21" s="137"/>
      <c r="E21" s="138"/>
      <c r="F21" s="138"/>
      <c r="G21" s="138"/>
      <c r="H21" s="138"/>
      <c r="I21" s="138"/>
      <c r="J21" s="138"/>
      <c r="K21" s="138"/>
      <c r="L21" s="139"/>
      <c r="M21" s="117"/>
      <c r="N21" s="117"/>
      <c r="O21" s="117"/>
      <c r="P21" s="117"/>
      <c r="Q21" s="167" t="s">
        <v>473</v>
      </c>
      <c r="R21" s="165"/>
      <c r="S21" s="166"/>
      <c r="T21" s="166"/>
      <c r="U21" s="166"/>
      <c r="V21" s="166"/>
      <c r="W21" s="166"/>
      <c r="X21" s="166"/>
      <c r="Y21" s="168"/>
      <c r="Z21" s="117"/>
    </row>
    <row r="22" spans="2:26" ht="14.25" customHeight="1" x14ac:dyDescent="0.45">
      <c r="B22" s="117"/>
      <c r="C22" s="132"/>
      <c r="D22" s="137"/>
      <c r="E22" s="138"/>
      <c r="F22" s="138"/>
      <c r="G22" s="138"/>
      <c r="H22" s="138"/>
      <c r="I22" s="138"/>
      <c r="J22" s="138"/>
      <c r="K22" s="138"/>
      <c r="L22" s="139"/>
      <c r="M22" s="117"/>
      <c r="N22" s="117"/>
      <c r="O22" s="117"/>
      <c r="P22" s="117"/>
      <c r="Q22" s="167" t="s">
        <v>474</v>
      </c>
      <c r="R22" s="165"/>
      <c r="S22" s="166"/>
      <c r="T22" s="166"/>
      <c r="U22" s="166"/>
      <c r="V22" s="166"/>
      <c r="W22" s="166"/>
      <c r="X22" s="166"/>
      <c r="Y22" s="168"/>
      <c r="Z22" s="117"/>
    </row>
    <row r="23" spans="2:26" ht="14.35" customHeight="1" x14ac:dyDescent="0.45">
      <c r="B23" s="117"/>
      <c r="C23" s="143"/>
      <c r="D23" s="140"/>
      <c r="E23" s="141"/>
      <c r="F23" s="141"/>
      <c r="G23" s="141"/>
      <c r="H23" s="141"/>
      <c r="I23" s="141"/>
      <c r="J23" s="141"/>
      <c r="K23" s="141"/>
      <c r="L23" s="142"/>
      <c r="M23" s="117"/>
      <c r="N23" s="117"/>
      <c r="O23" s="117"/>
      <c r="P23" s="117"/>
      <c r="Q23" s="167" t="s">
        <v>475</v>
      </c>
      <c r="R23" s="165"/>
      <c r="S23" s="166"/>
      <c r="T23" s="166"/>
      <c r="U23" s="166"/>
      <c r="V23" s="166"/>
      <c r="W23" s="166"/>
      <c r="X23" s="166"/>
      <c r="Y23" s="168"/>
      <c r="Z23" s="117"/>
    </row>
    <row r="24" spans="2:26" ht="14.25" customHeight="1" x14ac:dyDescent="0.45">
      <c r="B24" s="117"/>
      <c r="C24" s="131" t="s">
        <v>462</v>
      </c>
      <c r="D24" s="134" t="s">
        <v>485</v>
      </c>
      <c r="E24" s="135"/>
      <c r="F24" s="135"/>
      <c r="G24" s="135"/>
      <c r="H24" s="135"/>
      <c r="I24" s="135"/>
      <c r="J24" s="135"/>
      <c r="K24" s="135"/>
      <c r="L24" s="136"/>
      <c r="M24" s="117"/>
      <c r="N24" s="117"/>
      <c r="O24" s="117"/>
      <c r="P24" s="117"/>
      <c r="Q24" s="167" t="s">
        <v>476</v>
      </c>
      <c r="R24" s="165"/>
      <c r="S24" s="166"/>
      <c r="T24" s="166"/>
      <c r="U24" s="166"/>
      <c r="V24" s="166"/>
      <c r="W24" s="166"/>
      <c r="X24" s="166"/>
      <c r="Y24" s="168"/>
      <c r="Z24" s="117"/>
    </row>
    <row r="25" spans="2:26" ht="14.25" customHeight="1" x14ac:dyDescent="0.45">
      <c r="B25" s="117"/>
      <c r="C25" s="132"/>
      <c r="D25" s="137"/>
      <c r="E25" s="138"/>
      <c r="F25" s="138"/>
      <c r="G25" s="138"/>
      <c r="H25" s="138"/>
      <c r="I25" s="138"/>
      <c r="J25" s="138"/>
      <c r="K25" s="138"/>
      <c r="L25" s="139"/>
      <c r="M25" s="117"/>
      <c r="N25" s="117"/>
      <c r="O25" s="117"/>
      <c r="P25" s="117"/>
      <c r="Q25" s="167" t="s">
        <v>477</v>
      </c>
      <c r="R25" s="165"/>
      <c r="S25" s="166"/>
      <c r="T25" s="166"/>
      <c r="U25" s="166"/>
      <c r="V25" s="166"/>
      <c r="W25" s="166"/>
      <c r="X25" s="166"/>
      <c r="Y25" s="168"/>
      <c r="Z25" s="117"/>
    </row>
    <row r="26" spans="2:26" ht="14.25" customHeight="1" x14ac:dyDescent="0.45">
      <c r="B26" s="117"/>
      <c r="C26" s="132"/>
      <c r="D26" s="137"/>
      <c r="E26" s="138"/>
      <c r="F26" s="138"/>
      <c r="G26" s="138"/>
      <c r="H26" s="138"/>
      <c r="I26" s="138"/>
      <c r="J26" s="138"/>
      <c r="K26" s="138"/>
      <c r="L26" s="139"/>
      <c r="M26" s="117"/>
      <c r="N26" s="117"/>
      <c r="O26" s="117"/>
      <c r="P26" s="117"/>
      <c r="Q26" s="167" t="s">
        <v>478</v>
      </c>
      <c r="R26" s="165"/>
      <c r="S26" s="166"/>
      <c r="T26" s="166"/>
      <c r="U26" s="166"/>
      <c r="V26" s="166"/>
      <c r="W26" s="166"/>
      <c r="X26" s="166"/>
      <c r="Y26" s="168"/>
      <c r="Z26" s="117"/>
    </row>
    <row r="27" spans="2:26" ht="14.25" customHeight="1" x14ac:dyDescent="0.45">
      <c r="B27" s="117"/>
      <c r="C27" s="132"/>
      <c r="D27" s="137"/>
      <c r="E27" s="138"/>
      <c r="F27" s="138"/>
      <c r="G27" s="138"/>
      <c r="H27" s="138"/>
      <c r="I27" s="138"/>
      <c r="J27" s="138"/>
      <c r="K27" s="138"/>
      <c r="L27" s="139"/>
      <c r="M27" s="117"/>
      <c r="N27" s="117"/>
      <c r="O27" s="117"/>
      <c r="P27" s="117"/>
      <c r="Q27" s="167" t="s">
        <v>479</v>
      </c>
      <c r="R27" s="165"/>
      <c r="S27" s="166"/>
      <c r="T27" s="166"/>
      <c r="U27" s="166"/>
      <c r="V27" s="166"/>
      <c r="W27" s="166"/>
      <c r="X27" s="166"/>
      <c r="Y27" s="168"/>
      <c r="Z27" s="117"/>
    </row>
    <row r="28" spans="2:26" ht="14.65" customHeight="1" thickBot="1" x14ac:dyDescent="0.5">
      <c r="B28" s="117"/>
      <c r="C28" s="133"/>
      <c r="D28" s="140"/>
      <c r="E28" s="141"/>
      <c r="F28" s="141"/>
      <c r="G28" s="141"/>
      <c r="H28" s="141"/>
      <c r="I28" s="141"/>
      <c r="J28" s="141"/>
      <c r="K28" s="141"/>
      <c r="L28" s="142"/>
      <c r="M28" s="117"/>
      <c r="N28" s="117"/>
      <c r="O28" s="117"/>
      <c r="P28" s="117"/>
      <c r="Q28" s="169" t="s">
        <v>480</v>
      </c>
      <c r="R28" s="170"/>
      <c r="S28" s="171"/>
      <c r="T28" s="171"/>
      <c r="U28" s="171"/>
      <c r="V28" s="171"/>
      <c r="W28" s="171"/>
      <c r="X28" s="171"/>
      <c r="Y28" s="172"/>
      <c r="Z28" s="117"/>
    </row>
    <row r="29" spans="2:26" x14ac:dyDescent="0.45">
      <c r="B29" s="117"/>
      <c r="C29" s="118"/>
      <c r="D29" s="118"/>
      <c r="E29" s="118"/>
      <c r="F29" s="118"/>
      <c r="G29" s="118"/>
      <c r="H29" s="118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</row>
    <row r="30" spans="2:26" x14ac:dyDescent="0.45">
      <c r="B30" s="117"/>
      <c r="C30" s="118"/>
      <c r="D30" s="118"/>
      <c r="E30" s="118"/>
      <c r="F30" s="118"/>
      <c r="G30" s="118"/>
      <c r="H30" s="118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</row>
    <row r="31" spans="2:26" x14ac:dyDescent="0.45">
      <c r="B31" s="117"/>
      <c r="C31" s="118"/>
      <c r="D31" s="118"/>
      <c r="E31" s="118"/>
      <c r="F31" s="118"/>
      <c r="G31" s="118"/>
      <c r="H31" s="118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</row>
    <row r="32" spans="2:26" x14ac:dyDescent="0.45">
      <c r="B32" s="117"/>
      <c r="C32" s="118"/>
      <c r="D32" s="118"/>
      <c r="E32" s="118"/>
      <c r="F32" s="118"/>
      <c r="G32" s="118"/>
      <c r="H32" s="118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</row>
    <row r="33" spans="2:26" x14ac:dyDescent="0.45">
      <c r="B33" s="117"/>
      <c r="C33" s="118"/>
      <c r="D33" s="118"/>
      <c r="E33" s="118"/>
      <c r="F33" s="118"/>
      <c r="G33" s="118"/>
      <c r="H33" s="118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</row>
    <row r="34" spans="2:26" x14ac:dyDescent="0.45">
      <c r="B34" s="117"/>
      <c r="C34" s="118"/>
      <c r="D34" s="118"/>
      <c r="E34" s="118"/>
      <c r="F34" s="118"/>
      <c r="G34" s="118"/>
      <c r="H34" s="118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</row>
    <row r="35" spans="2:26" x14ac:dyDescent="0.45">
      <c r="B35" s="117"/>
      <c r="C35" s="118"/>
      <c r="D35" s="118"/>
      <c r="E35" s="118"/>
      <c r="F35" s="118"/>
      <c r="G35" s="118"/>
      <c r="H35" s="118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</row>
    <row r="36" spans="2:26" x14ac:dyDescent="0.45"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</row>
  </sheetData>
  <mergeCells count="12">
    <mergeCell ref="A1:Z2"/>
    <mergeCell ref="R3:Z3"/>
    <mergeCell ref="Q6:Y8"/>
    <mergeCell ref="C24:C28"/>
    <mergeCell ref="D24:L28"/>
    <mergeCell ref="C9:C13"/>
    <mergeCell ref="D9:L13"/>
    <mergeCell ref="C14:C18"/>
    <mergeCell ref="D14:L18"/>
    <mergeCell ref="C19:C23"/>
    <mergeCell ref="D19:L23"/>
    <mergeCell ref="C6:L8"/>
  </mergeCells>
  <phoneticPr fontId="11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6CD1C-43CF-4BEA-AA99-D04D502395CE}">
  <sheetPr codeName="Planilha1"/>
  <dimension ref="A1:E2"/>
  <sheetViews>
    <sheetView zoomScale="115" zoomScaleNormal="115" workbookViewId="0">
      <selection activeCell="K7" sqref="K7"/>
    </sheetView>
  </sheetViews>
  <sheetFormatPr defaultRowHeight="14.25" x14ac:dyDescent="0.45"/>
  <cols>
    <col min="1" max="1" width="23.796875" bestFit="1" customWidth="1"/>
    <col min="2" max="2" width="11.59765625" bestFit="1" customWidth="1"/>
    <col min="3" max="3" width="15.265625" bestFit="1" customWidth="1"/>
    <col min="4" max="4" width="4.796875" bestFit="1" customWidth="1"/>
    <col min="5" max="5" width="76.53125" bestFit="1" customWidth="1"/>
  </cols>
  <sheetData>
    <row r="1" spans="1:5" x14ac:dyDescent="0.45">
      <c r="A1" s="33" t="s">
        <v>195</v>
      </c>
      <c r="B1" s="33" t="s">
        <v>196</v>
      </c>
      <c r="C1" s="33"/>
      <c r="D1" s="33"/>
      <c r="E1" s="1"/>
    </row>
    <row r="2" spans="1:5" ht="16.899999999999999" customHeight="1" x14ac:dyDescent="0.45">
      <c r="A2" t="s">
        <v>442</v>
      </c>
      <c r="B2">
        <v>1</v>
      </c>
    </row>
  </sheetData>
  <phoneticPr fontId="11" type="noConversion"/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85F6-F62D-455C-9A0D-9742CDF651F6}">
  <sheetPr codeName="Folha1">
    <tabColor rgb="FF002060"/>
  </sheetPr>
  <dimension ref="A1:U16"/>
  <sheetViews>
    <sheetView showGridLines="0" zoomScale="50" zoomScaleNormal="50" workbookViewId="0">
      <pane xSplit="1" topLeftCell="B1" activePane="topRight" state="frozen"/>
      <selection pane="topRight" activeCell="B8" sqref="B8"/>
    </sheetView>
  </sheetViews>
  <sheetFormatPr defaultRowHeight="14.25" x14ac:dyDescent="0.45"/>
  <cols>
    <col min="1" max="1" width="32.46484375" bestFit="1" customWidth="1"/>
    <col min="2" max="21" width="47" customWidth="1"/>
  </cols>
  <sheetData>
    <row r="1" spans="1:21" s="35" customFormat="1" ht="60" customHeight="1" x14ac:dyDescent="0.45">
      <c r="A1" s="34" t="s">
        <v>0</v>
      </c>
      <c r="B1" s="112" t="s">
        <v>482</v>
      </c>
      <c r="C1" s="112" t="s">
        <v>483</v>
      </c>
      <c r="D1" s="112" t="s">
        <v>443</v>
      </c>
      <c r="E1" s="112" t="s">
        <v>444</v>
      </c>
      <c r="F1" s="112" t="s">
        <v>445</v>
      </c>
      <c r="G1" s="112" t="s">
        <v>446</v>
      </c>
      <c r="H1" s="112" t="s">
        <v>447</v>
      </c>
      <c r="I1" s="112" t="s">
        <v>448</v>
      </c>
      <c r="J1" s="112" t="s">
        <v>449</v>
      </c>
      <c r="K1" s="112" t="s">
        <v>450</v>
      </c>
      <c r="L1" s="112" t="s">
        <v>451</v>
      </c>
      <c r="M1" s="112" t="s">
        <v>452</v>
      </c>
      <c r="N1" s="112" t="s">
        <v>453</v>
      </c>
      <c r="O1" s="112" t="s">
        <v>454</v>
      </c>
      <c r="P1" s="112" t="s">
        <v>455</v>
      </c>
      <c r="Q1" s="112" t="s">
        <v>437</v>
      </c>
      <c r="R1" s="112" t="s">
        <v>438</v>
      </c>
      <c r="S1" s="112" t="s">
        <v>439</v>
      </c>
      <c r="T1" s="112" t="s">
        <v>440</v>
      </c>
      <c r="U1" s="112" t="s">
        <v>441</v>
      </c>
    </row>
    <row r="2" spans="1:21" s="2" customFormat="1" ht="70.25" customHeight="1" x14ac:dyDescent="0.45">
      <c r="A2" s="36" t="s">
        <v>1</v>
      </c>
      <c r="B2" s="47" t="str">
        <f>IFERROR(INDEX(CDB!$A$1:$ZB$18,MATCH($A2,CDB!$A:$A,0),MATCH(Tabela1[[#Headers],[F2U_1p0T3MHEV_MY27_SA]],CDB!$1:$1,0)),"NO DATA AVAILABLE")</f>
        <v>NO DATA AVAILABLE</v>
      </c>
      <c r="C2" s="47" t="str">
        <f>IFERROR(INDEX(CDB!$A$1:$ZB$18,MATCH($A2,CDB!$A:$A,0),MATCH(Tabela1[[#Headers],[CC24_1p0T3_MY25_SA]],CDB!$1:$1,0)),"NO DATA AVAILABLE")</f>
        <v>NO DATA AVAILABLE</v>
      </c>
      <c r="D2" s="47" t="str">
        <f>IFERROR(INDEX(CDB!$A$1:$ZB$18,MATCH($A2,CDB!$A:$A,0),MATCH(Tabela1[[#Headers],[Coluna3]],CDB!$1:$1,0)),"NO DATA AVAILABLE")</f>
        <v>NO DATA AVAILABLE</v>
      </c>
      <c r="E2" s="47" t="str">
        <f>IFERROR(INDEX(CDB!$A$1:$ZB$18,MATCH($A2,CDB!$A:$A,0),MATCH(Tabela1[[#Headers],[Coluna4]],CDB!$1:$1,0)),"NO DATA AVAILABLE")</f>
        <v>NO DATA AVAILABLE</v>
      </c>
      <c r="F2" s="47" t="str">
        <f>IFERROR(INDEX(CDB!$A$1:$ZB$18,MATCH($A2,CDB!$A:$A,0),MATCH(Tabela1[[#Headers],[Coluna5]],CDB!$1:$1,0)),"NO DATA AVAILABLE")</f>
        <v>NO DATA AVAILABLE</v>
      </c>
      <c r="G2" s="47" t="str">
        <f>IFERROR(INDEX(CDB!$A$1:$ZB$18,MATCH($A2,CDB!$A:$A,0),MATCH(Tabela1[[#Headers],[Coluna6]],CDB!$1:$1,0)),"NO DATA AVAILABLE")</f>
        <v>NO DATA AVAILABLE</v>
      </c>
      <c r="H2" s="47" t="str">
        <f>IFERROR(INDEX(CDB!$A$1:$ZB$18,MATCH($A2,CDB!$A:$A,0),MATCH(Tabela1[[#Headers],[Coluna7]],CDB!$1:$1,0)),"NO DATA AVAILABLE")</f>
        <v>NO DATA AVAILABLE</v>
      </c>
      <c r="I2" s="47" t="str">
        <f>IFERROR(INDEX(CDB!$A$1:$ZB$18,MATCH($A2,CDB!$A:$A,0),MATCH(Tabela1[[#Headers],[Coluna8]],CDB!$1:$1,0)),"NO DATA AVAILABLE")</f>
        <v>NO DATA AVAILABLE</v>
      </c>
      <c r="J2" s="47" t="str">
        <f>IFERROR(INDEX(CDB!$A$1:$ZB$18,MATCH($A2,CDB!$A:$A,0),MATCH(Tabela1[[#Headers],[Coluna9]],CDB!$1:$1,0)),"NO DATA AVAILABLE")</f>
        <v>NO DATA AVAILABLE</v>
      </c>
      <c r="K2" s="47" t="str">
        <f>IFERROR(INDEX(CDB!$A$1:$ZB$18,MATCH($A2,CDB!$A:$A,0),MATCH(Tabela1[[#Headers],[Coluna10]],CDB!$1:$1,0)),"NO DATA AVAILABLE")</f>
        <v>NO DATA AVAILABLE</v>
      </c>
      <c r="L2" s="47" t="str">
        <f>IFERROR(INDEX(CDB!$A$1:$ZB$18,MATCH($A2,CDB!$A:$A,0),MATCH(Tabela1[[#Headers],[Coluna11]],CDB!$1:$1,0)),"NO DATA AVAILABLE")</f>
        <v>NO DATA AVAILABLE</v>
      </c>
      <c r="M2" s="47" t="str">
        <f>IFERROR(INDEX(CDB!$A$1:$ZB$18,MATCH($A2,CDB!$A:$A,0),MATCH(Tabela1[[#Headers],[Coluna12]],CDB!$1:$1,0)),"NO DATA AVAILABLE")</f>
        <v>NO DATA AVAILABLE</v>
      </c>
      <c r="N2" s="47" t="str">
        <f>IFERROR(INDEX(CDB!$A$1:$ZB$18,MATCH($A2,CDB!$A:$A,0),MATCH(Tabela1[[#Headers],[Coluna13]],CDB!$1:$1,0)),"NO DATA AVAILABLE")</f>
        <v>NO DATA AVAILABLE</v>
      </c>
      <c r="O2" s="47" t="str">
        <f>IFERROR(INDEX(CDB!$A$1:$ZB$18,MATCH($A2,CDB!$A:$A,0),MATCH(Tabela1[[#Headers],[Coluna14]],CDB!$1:$1,0)),"NO DATA AVAILABLE")</f>
        <v>NO DATA AVAILABLE</v>
      </c>
      <c r="P2" s="47" t="str">
        <f>IFERROR(INDEX(CDB!$A$1:$ZB$18,MATCH($A2,CDB!$A:$A,0),MATCH(Tabela1[[#Headers],[Coluna15]],CDB!$1:$1,0)),"NO DATA AVAILABLE")</f>
        <v>NO DATA AVAILABLE</v>
      </c>
      <c r="Q2" s="47" t="str">
        <f>IFERROR(INDEX(CDB!$A$1:$ZB$18,MATCH($A2,CDB!$A:$A,0),MATCH(Tabela1[[#Headers],[Coluna16]],CDB!$1:$1,0)),"NO DATA AVAILABLE")</f>
        <v>NO DATA AVAILABLE</v>
      </c>
      <c r="R2" s="47" t="str">
        <f>IFERROR(INDEX(CDB!$A$1:$ZB$18,MATCH($A2,CDB!$A:$A,0),MATCH(Tabela1[[#Headers],[Coluna17]],CDB!$1:$1,0)),"NO DATA AVAILABLE")</f>
        <v>NO DATA AVAILABLE</v>
      </c>
      <c r="S2" s="47" t="str">
        <f>IFERROR(INDEX(CDB!$A$1:$ZB$18,MATCH($A2,CDB!$A:$A,0),MATCH(Tabela1[[#Headers],[Coluna18]],CDB!$1:$1,0)),"NO DATA AVAILABLE")</f>
        <v>NO DATA AVAILABLE</v>
      </c>
      <c r="T2" s="47" t="str">
        <f>IFERROR(INDEX(CDB!$A$1:$ZB$18,MATCH($A2,CDB!$A:$A,0),MATCH(Tabela1[[#Headers],[Coluna19]],CDB!$1:$1,0)),"NO DATA AVAILABLE")</f>
        <v>NO DATA AVAILABLE</v>
      </c>
      <c r="U2" s="47" t="str">
        <f>IFERROR(INDEX(CDB!$A$1:$ZB$18,MATCH($A2,CDB!$A:$A,0),MATCH(Tabela1[[#Headers],[Coluna20]],CDB!$1:$1,0)),"NO DATA AVAILABLE")</f>
        <v>NO DATA AVAILABLE</v>
      </c>
    </row>
    <row r="3" spans="1:21" s="2" customFormat="1" ht="70.25" customHeight="1" x14ac:dyDescent="0.45">
      <c r="A3" s="36" t="s">
        <v>2</v>
      </c>
      <c r="B3" s="108" t="str">
        <f>IFERROR(INDEX(CDB!$A$1:$ZB$18,MATCH($A3,CDB!$A:$A,0),MATCH(Tabela1[[#Headers],[F2U_1p0T3MHEV_MY27_SA]],CDB!$1:$1,0)),"NO DATA AVAILABLE")</f>
        <v>NO DATA AVAILABLE</v>
      </c>
      <c r="C3" s="108" t="str">
        <f>IFERROR(INDEX(CDB!$A$1:$ZB$18,MATCH($A3,CDB!$A:$A,0),MATCH(Tabela1[[#Headers],[CC24_1p0T3_MY25_SA]],CDB!$1:$1,0)),"NO DATA AVAILABLE")</f>
        <v>NO DATA AVAILABLE</v>
      </c>
      <c r="D3" s="108" t="str">
        <f>IFERROR(INDEX(CDB!$A$1:$ZB$18,MATCH($A3,CDB!$A:$A,0),MATCH(Tabela1[[#Headers],[Coluna3]],CDB!$1:$1,0)),"NO DATA AVAILABLE")</f>
        <v>NO DATA AVAILABLE</v>
      </c>
      <c r="E3" s="108" t="str">
        <f>IFERROR(INDEX(CDB!$A$1:$ZB$18,MATCH($A3,CDB!$A:$A,0),MATCH(Tabela1[[#Headers],[Coluna4]],CDB!$1:$1,0)),"NO DATA AVAILABLE")</f>
        <v>NO DATA AVAILABLE</v>
      </c>
      <c r="F3" s="108" t="str">
        <f>IFERROR(INDEX(CDB!$A$1:$ZB$18,MATCH($A3,CDB!$A:$A,0),MATCH(Tabela1[[#Headers],[Coluna5]],CDB!$1:$1,0)),"NO DATA AVAILABLE")</f>
        <v>NO DATA AVAILABLE</v>
      </c>
      <c r="G3" s="108" t="str">
        <f>IFERROR(INDEX(CDB!$A$1:$ZB$18,MATCH($A3,CDB!$A:$A,0),MATCH(Tabela1[[#Headers],[Coluna6]],CDB!$1:$1,0)),"NO DATA AVAILABLE")</f>
        <v>NO DATA AVAILABLE</v>
      </c>
      <c r="H3" s="108" t="str">
        <f>IFERROR(INDEX(CDB!$A$1:$ZB$18,MATCH($A3,CDB!$A:$A,0),MATCH(Tabela1[[#Headers],[Coluna7]],CDB!$1:$1,0)),"NO DATA AVAILABLE")</f>
        <v>NO DATA AVAILABLE</v>
      </c>
      <c r="I3" s="108" t="str">
        <f>IFERROR(INDEX(CDB!$A$1:$ZB$18,MATCH($A3,CDB!$A:$A,0),MATCH(Tabela1[[#Headers],[Coluna8]],CDB!$1:$1,0)),"NO DATA AVAILABLE")</f>
        <v>NO DATA AVAILABLE</v>
      </c>
      <c r="J3" s="108" t="str">
        <f>IFERROR(INDEX(CDB!$A$1:$ZB$18,MATCH($A3,CDB!$A:$A,0),MATCH(Tabela1[[#Headers],[Coluna9]],CDB!$1:$1,0)),"NO DATA AVAILABLE")</f>
        <v>NO DATA AVAILABLE</v>
      </c>
      <c r="K3" s="108" t="str">
        <f>IFERROR(INDEX(CDB!$A$1:$ZB$18,MATCH($A3,CDB!$A:$A,0),MATCH(Tabela1[[#Headers],[Coluna10]],CDB!$1:$1,0)),"NO DATA AVAILABLE")</f>
        <v>NO DATA AVAILABLE</v>
      </c>
      <c r="L3" s="108" t="str">
        <f>IFERROR(INDEX(CDB!$A$1:$ZB$18,MATCH($A3,CDB!$A:$A,0),MATCH(Tabela1[[#Headers],[Coluna11]],CDB!$1:$1,0)),"NO DATA AVAILABLE")</f>
        <v>NO DATA AVAILABLE</v>
      </c>
      <c r="M3" s="108" t="str">
        <f>IFERROR(INDEX(CDB!$A$1:$ZB$18,MATCH($A3,CDB!$A:$A,0),MATCH(Tabela1[[#Headers],[Coluna12]],CDB!$1:$1,0)),"NO DATA AVAILABLE")</f>
        <v>NO DATA AVAILABLE</v>
      </c>
      <c r="N3" s="108" t="str">
        <f>IFERROR(INDEX(CDB!$A$1:$ZB$18,MATCH($A3,CDB!$A:$A,0),MATCH(Tabela1[[#Headers],[Coluna13]],CDB!$1:$1,0)),"NO DATA AVAILABLE")</f>
        <v>NO DATA AVAILABLE</v>
      </c>
      <c r="O3" s="108" t="str">
        <f>IFERROR(INDEX(CDB!$A$1:$ZB$18,MATCH($A3,CDB!$A:$A,0),MATCH(Tabela1[[#Headers],[Coluna14]],CDB!$1:$1,0)),"NO DATA AVAILABLE")</f>
        <v>NO DATA AVAILABLE</v>
      </c>
      <c r="P3" s="108" t="str">
        <f>IFERROR(INDEX(CDB!$A$1:$ZB$18,MATCH($A3,CDB!$A:$A,0),MATCH(Tabela1[[#Headers],[Coluna15]],CDB!$1:$1,0)),"NO DATA AVAILABLE")</f>
        <v>NO DATA AVAILABLE</v>
      </c>
      <c r="Q3" s="108" t="str">
        <f>IFERROR(INDEX(CDB!$A$1:$ZB$18,MATCH($A3,CDB!$A:$A,0),MATCH(Tabela1[[#Headers],[Coluna16]],CDB!$1:$1,0)),"NO DATA AVAILABLE")</f>
        <v>NO DATA AVAILABLE</v>
      </c>
      <c r="R3" s="108" t="str">
        <f>IFERROR(INDEX(CDB!$A$1:$ZB$18,MATCH($A3,CDB!$A:$A,0),MATCH(Tabela1[[#Headers],[Coluna17]],CDB!$1:$1,0)),"NO DATA AVAILABLE")</f>
        <v>NO DATA AVAILABLE</v>
      </c>
      <c r="S3" s="108" t="str">
        <f>IFERROR(INDEX(CDB!$A$1:$ZB$18,MATCH($A3,CDB!$A:$A,0),MATCH(Tabela1[[#Headers],[Coluna18]],CDB!$1:$1,0)),"NO DATA AVAILABLE")</f>
        <v>NO DATA AVAILABLE</v>
      </c>
      <c r="T3" s="108" t="str">
        <f>IFERROR(INDEX(CDB!$A$1:$ZB$18,MATCH($A3,CDB!$A:$A,0),MATCH(Tabela1[[#Headers],[Coluna19]],CDB!$1:$1,0)),"NO DATA AVAILABLE")</f>
        <v>NO DATA AVAILABLE</v>
      </c>
      <c r="U3" s="108" t="str">
        <f>IFERROR(INDEX(CDB!$A$1:$ZB$18,MATCH($A3,CDB!$A:$A,0),MATCH(Tabela1[[#Headers],[Coluna20]],CDB!$1:$1,0)),"NO DATA AVAILABLE")</f>
        <v>NO DATA AVAILABLE</v>
      </c>
    </row>
    <row r="4" spans="1:21" s="2" customFormat="1" ht="70.25" customHeight="1" x14ac:dyDescent="0.45">
      <c r="A4" s="36" t="s">
        <v>3</v>
      </c>
      <c r="B4" s="47" t="str">
        <f>IFERROR(INDEX(CDB!$A$1:$ZB$18,MATCH($A4,CDB!$A:$A,0),MATCH(Tabela1[[#Headers],[F2U_1p0T3MHEV_MY27_SA]],CDB!$1:$1,0)),"NO DATA AVAILABLE")</f>
        <v>NO DATA AVAILABLE</v>
      </c>
      <c r="C4" s="47" t="str">
        <f>IFERROR(INDEX(CDB!$A$1:$ZB$18,MATCH($A4,CDB!$A:$A,0),MATCH(Tabela1[[#Headers],[CC24_1p0T3_MY25_SA]],CDB!$1:$1,0)),"NO DATA AVAILABLE")</f>
        <v>NO DATA AVAILABLE</v>
      </c>
      <c r="D4" s="47" t="str">
        <f>IFERROR(INDEX(CDB!$A$1:$ZB$18,MATCH($A4,CDB!$A:$A,0),MATCH(Tabela1[[#Headers],[Coluna3]],CDB!$1:$1,0)),"NO DATA AVAILABLE")</f>
        <v>NO DATA AVAILABLE</v>
      </c>
      <c r="E4" s="47" t="str">
        <f>IFERROR(INDEX(CDB!$A$1:$ZB$18,MATCH($A4,CDB!$A:$A,0),MATCH(Tabela1[[#Headers],[Coluna4]],CDB!$1:$1,0)),"NO DATA AVAILABLE")</f>
        <v>NO DATA AVAILABLE</v>
      </c>
      <c r="F4" s="47" t="str">
        <f>IFERROR(INDEX(CDB!$A$1:$ZB$18,MATCH($A4,CDB!$A:$A,0),MATCH(Tabela1[[#Headers],[Coluna5]],CDB!$1:$1,0)),"NO DATA AVAILABLE")</f>
        <v>NO DATA AVAILABLE</v>
      </c>
      <c r="G4" s="47" t="str">
        <f>IFERROR(INDEX(CDB!$A$1:$ZB$18,MATCH($A4,CDB!$A:$A,0),MATCH(Tabela1[[#Headers],[Coluna6]],CDB!$1:$1,0)),"NO DATA AVAILABLE")</f>
        <v>NO DATA AVAILABLE</v>
      </c>
      <c r="H4" s="47" t="str">
        <f>IFERROR(INDEX(CDB!$A$1:$ZB$18,MATCH($A4,CDB!$A:$A,0),MATCH(Tabela1[[#Headers],[Coluna7]],CDB!$1:$1,0)),"NO DATA AVAILABLE")</f>
        <v>NO DATA AVAILABLE</v>
      </c>
      <c r="I4" s="47" t="str">
        <f>IFERROR(INDEX(CDB!$A$1:$ZB$18,MATCH($A4,CDB!$A:$A,0),MATCH(Tabela1[[#Headers],[Coluna8]],CDB!$1:$1,0)),"NO DATA AVAILABLE")</f>
        <v>NO DATA AVAILABLE</v>
      </c>
      <c r="J4" s="47" t="str">
        <f>IFERROR(INDEX(CDB!$A$1:$ZB$18,MATCH($A4,CDB!$A:$A,0),MATCH(Tabela1[[#Headers],[Coluna9]],CDB!$1:$1,0)),"NO DATA AVAILABLE")</f>
        <v>NO DATA AVAILABLE</v>
      </c>
      <c r="K4" s="47" t="str">
        <f>IFERROR(INDEX(CDB!$A$1:$ZB$18,MATCH($A4,CDB!$A:$A,0),MATCH(Tabela1[[#Headers],[Coluna10]],CDB!$1:$1,0)),"NO DATA AVAILABLE")</f>
        <v>NO DATA AVAILABLE</v>
      </c>
      <c r="L4" s="47" t="str">
        <f>IFERROR(INDEX(CDB!$A$1:$ZB$18,MATCH($A4,CDB!$A:$A,0),MATCH(Tabela1[[#Headers],[Coluna11]],CDB!$1:$1,0)),"NO DATA AVAILABLE")</f>
        <v>NO DATA AVAILABLE</v>
      </c>
      <c r="M4" s="47" t="str">
        <f>IFERROR(INDEX(CDB!$A$1:$ZB$18,MATCH($A4,CDB!$A:$A,0),MATCH(Tabela1[[#Headers],[Coluna12]],CDB!$1:$1,0)),"NO DATA AVAILABLE")</f>
        <v>NO DATA AVAILABLE</v>
      </c>
      <c r="N4" s="47" t="str">
        <f>IFERROR(INDEX(CDB!$A$1:$ZB$18,MATCH($A4,CDB!$A:$A,0),MATCH(Tabela1[[#Headers],[Coluna13]],CDB!$1:$1,0)),"NO DATA AVAILABLE")</f>
        <v>NO DATA AVAILABLE</v>
      </c>
      <c r="O4" s="47" t="str">
        <f>IFERROR(INDEX(CDB!$A$1:$ZB$18,MATCH($A4,CDB!$A:$A,0),MATCH(Tabela1[[#Headers],[Coluna14]],CDB!$1:$1,0)),"NO DATA AVAILABLE")</f>
        <v>NO DATA AVAILABLE</v>
      </c>
      <c r="P4" s="47" t="str">
        <f>IFERROR(INDEX(CDB!$A$1:$ZB$18,MATCH($A4,CDB!$A:$A,0),MATCH(Tabela1[[#Headers],[Coluna15]],CDB!$1:$1,0)),"NO DATA AVAILABLE")</f>
        <v>NO DATA AVAILABLE</v>
      </c>
      <c r="Q4" s="47" t="str">
        <f>IFERROR(INDEX(CDB!$A$1:$ZB$18,MATCH($A4,CDB!$A:$A,0),MATCH(Tabela1[[#Headers],[Coluna16]],CDB!$1:$1,0)),"NO DATA AVAILABLE")</f>
        <v>NO DATA AVAILABLE</v>
      </c>
      <c r="R4" s="47" t="str">
        <f>IFERROR(INDEX(CDB!$A$1:$ZB$18,MATCH($A4,CDB!$A:$A,0),MATCH(Tabela1[[#Headers],[Coluna17]],CDB!$1:$1,0)),"NO DATA AVAILABLE")</f>
        <v>NO DATA AVAILABLE</v>
      </c>
      <c r="S4" s="47" t="str">
        <f>IFERROR(INDEX(CDB!$A$1:$ZB$18,MATCH($A4,CDB!$A:$A,0),MATCH(Tabela1[[#Headers],[Coluna18]],CDB!$1:$1,0)),"NO DATA AVAILABLE")</f>
        <v>NO DATA AVAILABLE</v>
      </c>
      <c r="T4" s="47" t="str">
        <f>IFERROR(INDEX(CDB!$A$1:$ZB$18,MATCH($A4,CDB!$A:$A,0),MATCH(Tabela1[[#Headers],[Coluna19]],CDB!$1:$1,0)),"NO DATA AVAILABLE")</f>
        <v>NO DATA AVAILABLE</v>
      </c>
      <c r="U4" s="47" t="str">
        <f>IFERROR(INDEX(CDB!$A$1:$ZB$18,MATCH($A4,CDB!$A:$A,0),MATCH(Tabela1[[#Headers],[Coluna20]],CDB!$1:$1,0)),"NO DATA AVAILABLE")</f>
        <v>NO DATA AVAILABLE</v>
      </c>
    </row>
    <row r="5" spans="1:21" s="2" customFormat="1" ht="70.25" customHeight="1" x14ac:dyDescent="0.45">
      <c r="A5" s="36" t="s">
        <v>4</v>
      </c>
      <c r="B5" s="47" t="str">
        <f>IFERROR(INDEX(CDB!$A$1:$ZB$18,MATCH($A5,CDB!$A:$A,0),MATCH(Tabela1[[#Headers],[F2U_1p0T3MHEV_MY27_SA]],CDB!$1:$1,0)),"NO DATA AVAILABLE")</f>
        <v>NO DATA AVAILABLE</v>
      </c>
      <c r="C5" s="47" t="str">
        <f>IFERROR(INDEX(CDB!$A$1:$ZB$18,MATCH($A5,CDB!$A:$A,0),MATCH(Tabela1[[#Headers],[CC24_1p0T3_MY25_SA]],CDB!$1:$1,0)),"NO DATA AVAILABLE")</f>
        <v>NO DATA AVAILABLE</v>
      </c>
      <c r="D5" s="47" t="str">
        <f>IFERROR(INDEX(CDB!$A$1:$ZB$18,MATCH($A5,CDB!$A:$A,0),MATCH(Tabela1[[#Headers],[Coluna3]],CDB!$1:$1,0)),"NO DATA AVAILABLE")</f>
        <v>NO DATA AVAILABLE</v>
      </c>
      <c r="E5" s="47" t="str">
        <f>IFERROR(INDEX(CDB!$A$1:$ZB$18,MATCH($A5,CDB!$A:$A,0),MATCH(Tabela1[[#Headers],[Coluna4]],CDB!$1:$1,0)),"NO DATA AVAILABLE")</f>
        <v>NO DATA AVAILABLE</v>
      </c>
      <c r="F5" s="47" t="str">
        <f>IFERROR(INDEX(CDB!$A$1:$ZB$18,MATCH($A5,CDB!$A:$A,0),MATCH(Tabela1[[#Headers],[Coluna5]],CDB!$1:$1,0)),"NO DATA AVAILABLE")</f>
        <v>NO DATA AVAILABLE</v>
      </c>
      <c r="G5" s="47" t="str">
        <f>IFERROR(INDEX(CDB!$A$1:$ZB$18,MATCH($A5,CDB!$A:$A,0),MATCH(Tabela1[[#Headers],[Coluna6]],CDB!$1:$1,0)),"NO DATA AVAILABLE")</f>
        <v>NO DATA AVAILABLE</v>
      </c>
      <c r="H5" s="47" t="str">
        <f>IFERROR(INDEX(CDB!$A$1:$ZB$18,MATCH($A5,CDB!$A:$A,0),MATCH(Tabela1[[#Headers],[Coluna7]],CDB!$1:$1,0)),"NO DATA AVAILABLE")</f>
        <v>NO DATA AVAILABLE</v>
      </c>
      <c r="I5" s="47" t="str">
        <f>IFERROR(INDEX(CDB!$A$1:$ZB$18,MATCH($A5,CDB!$A:$A,0),MATCH(Tabela1[[#Headers],[Coluna8]],CDB!$1:$1,0)),"NO DATA AVAILABLE")</f>
        <v>NO DATA AVAILABLE</v>
      </c>
      <c r="J5" s="47" t="str">
        <f>IFERROR(INDEX(CDB!$A$1:$ZB$18,MATCH($A5,CDB!$A:$A,0),MATCH(Tabela1[[#Headers],[Coluna9]],CDB!$1:$1,0)),"NO DATA AVAILABLE")</f>
        <v>NO DATA AVAILABLE</v>
      </c>
      <c r="K5" s="47" t="str">
        <f>IFERROR(INDEX(CDB!$A$1:$ZB$18,MATCH($A5,CDB!$A:$A,0),MATCH(Tabela1[[#Headers],[Coluna10]],CDB!$1:$1,0)),"NO DATA AVAILABLE")</f>
        <v>NO DATA AVAILABLE</v>
      </c>
      <c r="L5" s="47" t="str">
        <f>IFERROR(INDEX(CDB!$A$1:$ZB$18,MATCH($A5,CDB!$A:$A,0),MATCH(Tabela1[[#Headers],[Coluna11]],CDB!$1:$1,0)),"NO DATA AVAILABLE")</f>
        <v>NO DATA AVAILABLE</v>
      </c>
      <c r="M5" s="47" t="str">
        <f>IFERROR(INDEX(CDB!$A$1:$ZB$18,MATCH($A5,CDB!$A:$A,0),MATCH(Tabela1[[#Headers],[Coluna12]],CDB!$1:$1,0)),"NO DATA AVAILABLE")</f>
        <v>NO DATA AVAILABLE</v>
      </c>
      <c r="N5" s="47" t="str">
        <f>IFERROR(INDEX(CDB!$A$1:$ZB$18,MATCH($A5,CDB!$A:$A,0),MATCH(Tabela1[[#Headers],[Coluna13]],CDB!$1:$1,0)),"NO DATA AVAILABLE")</f>
        <v>NO DATA AVAILABLE</v>
      </c>
      <c r="O5" s="47" t="str">
        <f>IFERROR(INDEX(CDB!$A$1:$ZB$18,MATCH($A5,CDB!$A:$A,0),MATCH(Tabela1[[#Headers],[Coluna14]],CDB!$1:$1,0)),"NO DATA AVAILABLE")</f>
        <v>NO DATA AVAILABLE</v>
      </c>
      <c r="P5" s="47" t="str">
        <f>IFERROR(INDEX(CDB!$A$1:$ZB$18,MATCH($A5,CDB!$A:$A,0),MATCH(Tabela1[[#Headers],[Coluna15]],CDB!$1:$1,0)),"NO DATA AVAILABLE")</f>
        <v>NO DATA AVAILABLE</v>
      </c>
      <c r="Q5" s="47" t="str">
        <f>IFERROR(INDEX(CDB!$A$1:$ZB$18,MATCH($A5,CDB!$A:$A,0),MATCH(Tabela1[[#Headers],[Coluna16]],CDB!$1:$1,0)),"NO DATA AVAILABLE")</f>
        <v>NO DATA AVAILABLE</v>
      </c>
      <c r="R5" s="47" t="str">
        <f>IFERROR(INDEX(CDB!$A$1:$ZB$18,MATCH($A5,CDB!$A:$A,0),MATCH(Tabela1[[#Headers],[Coluna17]],CDB!$1:$1,0)),"NO DATA AVAILABLE")</f>
        <v>NO DATA AVAILABLE</v>
      </c>
      <c r="S5" s="47" t="str">
        <f>IFERROR(INDEX(CDB!$A$1:$ZB$18,MATCH($A5,CDB!$A:$A,0),MATCH(Tabela1[[#Headers],[Coluna18]],CDB!$1:$1,0)),"NO DATA AVAILABLE")</f>
        <v>NO DATA AVAILABLE</v>
      </c>
      <c r="T5" s="47" t="str">
        <f>IFERROR(INDEX(CDB!$A$1:$ZB$18,MATCH($A5,CDB!$A:$A,0),MATCH(Tabela1[[#Headers],[Coluna19]],CDB!$1:$1,0)),"NO DATA AVAILABLE")</f>
        <v>NO DATA AVAILABLE</v>
      </c>
      <c r="U5" s="47" t="str">
        <f>IFERROR(INDEX(CDB!$A$1:$ZB$18,MATCH($A5,CDB!$A:$A,0),MATCH(Tabela1[[#Headers],[Coluna20]],CDB!$1:$1,0)),"NO DATA AVAILABLE")</f>
        <v>NO DATA AVAILABLE</v>
      </c>
    </row>
    <row r="6" spans="1:21" s="2" customFormat="1" ht="70.25" customHeight="1" x14ac:dyDescent="0.45">
      <c r="A6" s="36" t="s">
        <v>5</v>
      </c>
      <c r="B6" s="47" t="str">
        <f>IFERROR(INDEX(CDB!$A$1:$ZB$18,MATCH($A6,CDB!$A:$A,0),MATCH(Tabela1[[#Headers],[F2U_1p0T3MHEV_MY27_SA]],CDB!$1:$1,0)),"NO DATA AVAILABLE")</f>
        <v>NO DATA AVAILABLE</v>
      </c>
      <c r="C6" s="47" t="str">
        <f>IFERROR(INDEX(CDB!$A$1:$ZB$18,MATCH($A6,CDB!$A:$A,0),MATCH(Tabela1[[#Headers],[CC24_1p0T3_MY25_SA]],CDB!$1:$1,0)),"NO DATA AVAILABLE")</f>
        <v>NO DATA AVAILABLE</v>
      </c>
      <c r="D6" s="47" t="str">
        <f>IFERROR(INDEX(CDB!$A$1:$ZB$18,MATCH($A6,CDB!$A:$A,0),MATCH(Tabela1[[#Headers],[Coluna3]],CDB!$1:$1,0)),"NO DATA AVAILABLE")</f>
        <v>NO DATA AVAILABLE</v>
      </c>
      <c r="E6" s="47" t="str">
        <f>IFERROR(INDEX(CDB!$A$1:$ZB$18,MATCH($A6,CDB!$A:$A,0),MATCH(Tabela1[[#Headers],[Coluna4]],CDB!$1:$1,0)),"NO DATA AVAILABLE")</f>
        <v>NO DATA AVAILABLE</v>
      </c>
      <c r="F6" s="47" t="str">
        <f>IFERROR(INDEX(CDB!$A$1:$ZB$18,MATCH($A6,CDB!$A:$A,0),MATCH(Tabela1[[#Headers],[Coluna5]],CDB!$1:$1,0)),"NO DATA AVAILABLE")</f>
        <v>NO DATA AVAILABLE</v>
      </c>
      <c r="G6" s="47" t="str">
        <f>IFERROR(INDEX(CDB!$A$1:$ZB$18,MATCH($A6,CDB!$A:$A,0),MATCH(Tabela1[[#Headers],[Coluna6]],CDB!$1:$1,0)),"NO DATA AVAILABLE")</f>
        <v>NO DATA AVAILABLE</v>
      </c>
      <c r="H6" s="47" t="str">
        <f>IFERROR(INDEX(CDB!$A$1:$ZB$18,MATCH($A6,CDB!$A:$A,0),MATCH(Tabela1[[#Headers],[Coluna7]],CDB!$1:$1,0)),"NO DATA AVAILABLE")</f>
        <v>NO DATA AVAILABLE</v>
      </c>
      <c r="I6" s="47" t="str">
        <f>IFERROR(INDEX(CDB!$A$1:$ZB$18,MATCH($A6,CDB!$A:$A,0),MATCH(Tabela1[[#Headers],[Coluna8]],CDB!$1:$1,0)),"NO DATA AVAILABLE")</f>
        <v>NO DATA AVAILABLE</v>
      </c>
      <c r="J6" s="47" t="str">
        <f>IFERROR(INDEX(CDB!$A$1:$ZB$18,MATCH($A6,CDB!$A:$A,0),MATCH(Tabela1[[#Headers],[Coluna9]],CDB!$1:$1,0)),"NO DATA AVAILABLE")</f>
        <v>NO DATA AVAILABLE</v>
      </c>
      <c r="K6" s="47" t="str">
        <f>IFERROR(INDEX(CDB!$A$1:$ZB$18,MATCH($A6,CDB!$A:$A,0),MATCH(Tabela1[[#Headers],[Coluna10]],CDB!$1:$1,0)),"NO DATA AVAILABLE")</f>
        <v>NO DATA AVAILABLE</v>
      </c>
      <c r="L6" s="47" t="str">
        <f>IFERROR(INDEX(CDB!$A$1:$ZB$18,MATCH($A6,CDB!$A:$A,0),MATCH(Tabela1[[#Headers],[Coluna11]],CDB!$1:$1,0)),"NO DATA AVAILABLE")</f>
        <v>NO DATA AVAILABLE</v>
      </c>
      <c r="M6" s="47" t="str">
        <f>IFERROR(INDEX(CDB!$A$1:$ZB$18,MATCH($A6,CDB!$A:$A,0),MATCH(Tabela1[[#Headers],[Coluna12]],CDB!$1:$1,0)),"NO DATA AVAILABLE")</f>
        <v>NO DATA AVAILABLE</v>
      </c>
      <c r="N6" s="47" t="str">
        <f>IFERROR(INDEX(CDB!$A$1:$ZB$18,MATCH($A6,CDB!$A:$A,0),MATCH(Tabela1[[#Headers],[Coluna13]],CDB!$1:$1,0)),"NO DATA AVAILABLE")</f>
        <v>NO DATA AVAILABLE</v>
      </c>
      <c r="O6" s="47" t="str">
        <f>IFERROR(INDEX(CDB!$A$1:$ZB$18,MATCH($A6,CDB!$A:$A,0),MATCH(Tabela1[[#Headers],[Coluna14]],CDB!$1:$1,0)),"NO DATA AVAILABLE")</f>
        <v>NO DATA AVAILABLE</v>
      </c>
      <c r="P6" s="47" t="str">
        <f>IFERROR(INDEX(CDB!$A$1:$ZB$18,MATCH($A6,CDB!$A:$A,0),MATCH(Tabela1[[#Headers],[Coluna15]],CDB!$1:$1,0)),"NO DATA AVAILABLE")</f>
        <v>NO DATA AVAILABLE</v>
      </c>
      <c r="Q6" s="47" t="str">
        <f>IFERROR(INDEX(CDB!$A$1:$ZB$18,MATCH($A6,CDB!$A:$A,0),MATCH(Tabela1[[#Headers],[Coluna16]],CDB!$1:$1,0)),"NO DATA AVAILABLE")</f>
        <v>NO DATA AVAILABLE</v>
      </c>
      <c r="R6" s="47" t="str">
        <f>IFERROR(INDEX(CDB!$A$1:$ZB$18,MATCH($A6,CDB!$A:$A,0),MATCH(Tabela1[[#Headers],[Coluna17]],CDB!$1:$1,0)),"NO DATA AVAILABLE")</f>
        <v>NO DATA AVAILABLE</v>
      </c>
      <c r="S6" s="47" t="str">
        <f>IFERROR(INDEX(CDB!$A$1:$ZB$18,MATCH($A6,CDB!$A:$A,0),MATCH(Tabela1[[#Headers],[Coluna18]],CDB!$1:$1,0)),"NO DATA AVAILABLE")</f>
        <v>NO DATA AVAILABLE</v>
      </c>
      <c r="T6" s="47" t="str">
        <f>IFERROR(INDEX(CDB!$A$1:$ZB$18,MATCH($A6,CDB!$A:$A,0),MATCH(Tabela1[[#Headers],[Coluna19]],CDB!$1:$1,0)),"NO DATA AVAILABLE")</f>
        <v>NO DATA AVAILABLE</v>
      </c>
      <c r="U6" s="47" t="str">
        <f>IFERROR(INDEX(CDB!$A$1:$ZB$18,MATCH($A6,CDB!$A:$A,0),MATCH(Tabela1[[#Headers],[Coluna20]],CDB!$1:$1,0)),"NO DATA AVAILABLE")</f>
        <v>NO DATA AVAILABLE</v>
      </c>
    </row>
    <row r="7" spans="1:21" s="2" customFormat="1" ht="70.25" customHeight="1" x14ac:dyDescent="0.45">
      <c r="A7" s="36" t="s">
        <v>6</v>
      </c>
      <c r="B7" s="47" t="str">
        <f>IFERROR(INDEX(CDB!$A$1:$ZB$18,MATCH($A7,CDB!$A:$A,0),MATCH(Tabela1[[#Headers],[F2U_1p0T3MHEV_MY27_SA]],CDB!$1:$1,0)),"NO DATA AVAILABLE")</f>
        <v>NO DATA AVAILABLE</v>
      </c>
      <c r="C7" s="47" t="str">
        <f>IFERROR(INDEX(CDB!$A$1:$ZB$18,MATCH($A7,CDB!$A:$A,0),MATCH(Tabela1[[#Headers],[CC24_1p0T3_MY25_SA]],CDB!$1:$1,0)),"NO DATA AVAILABLE")</f>
        <v>NO DATA AVAILABLE</v>
      </c>
      <c r="D7" s="47" t="str">
        <f>IFERROR(INDEX(CDB!$A$1:$ZB$18,MATCH($A7,CDB!$A:$A,0),MATCH(Tabela1[[#Headers],[Coluna3]],CDB!$1:$1,0)),"NO DATA AVAILABLE")</f>
        <v>NO DATA AVAILABLE</v>
      </c>
      <c r="E7" s="47" t="str">
        <f>IFERROR(INDEX(CDB!$A$1:$ZB$18,MATCH($A7,CDB!$A:$A,0),MATCH(Tabela1[[#Headers],[Coluna4]],CDB!$1:$1,0)),"NO DATA AVAILABLE")</f>
        <v>NO DATA AVAILABLE</v>
      </c>
      <c r="F7" s="47" t="str">
        <f>IFERROR(INDEX(CDB!$A$1:$ZB$18,MATCH($A7,CDB!$A:$A,0),MATCH(Tabela1[[#Headers],[Coluna5]],CDB!$1:$1,0)),"NO DATA AVAILABLE")</f>
        <v>NO DATA AVAILABLE</v>
      </c>
      <c r="G7" s="47" t="str">
        <f>IFERROR(INDEX(CDB!$A$1:$ZB$18,MATCH($A7,CDB!$A:$A,0),MATCH(Tabela1[[#Headers],[Coluna6]],CDB!$1:$1,0)),"NO DATA AVAILABLE")</f>
        <v>NO DATA AVAILABLE</v>
      </c>
      <c r="H7" s="47" t="str">
        <f>IFERROR(INDEX(CDB!$A$1:$ZB$18,MATCH($A7,CDB!$A:$A,0),MATCH(Tabela1[[#Headers],[Coluna7]],CDB!$1:$1,0)),"NO DATA AVAILABLE")</f>
        <v>NO DATA AVAILABLE</v>
      </c>
      <c r="I7" s="47" t="str">
        <f>IFERROR(INDEX(CDB!$A$1:$ZB$18,MATCH($A7,CDB!$A:$A,0),MATCH(Tabela1[[#Headers],[Coluna8]],CDB!$1:$1,0)),"NO DATA AVAILABLE")</f>
        <v>NO DATA AVAILABLE</v>
      </c>
      <c r="J7" s="47" t="str">
        <f>IFERROR(INDEX(CDB!$A$1:$ZB$18,MATCH($A7,CDB!$A:$A,0),MATCH(Tabela1[[#Headers],[Coluna9]],CDB!$1:$1,0)),"NO DATA AVAILABLE")</f>
        <v>NO DATA AVAILABLE</v>
      </c>
      <c r="K7" s="47" t="str">
        <f>IFERROR(INDEX(CDB!$A$1:$ZB$18,MATCH($A7,CDB!$A:$A,0),MATCH(Tabela1[[#Headers],[Coluna10]],CDB!$1:$1,0)),"NO DATA AVAILABLE")</f>
        <v>NO DATA AVAILABLE</v>
      </c>
      <c r="L7" s="47" t="str">
        <f>IFERROR(INDEX(CDB!$A$1:$ZB$18,MATCH($A7,CDB!$A:$A,0),MATCH(Tabela1[[#Headers],[Coluna11]],CDB!$1:$1,0)),"NO DATA AVAILABLE")</f>
        <v>NO DATA AVAILABLE</v>
      </c>
      <c r="M7" s="47" t="str">
        <f>IFERROR(INDEX(CDB!$A$1:$ZB$18,MATCH($A7,CDB!$A:$A,0),MATCH(Tabela1[[#Headers],[Coluna12]],CDB!$1:$1,0)),"NO DATA AVAILABLE")</f>
        <v>NO DATA AVAILABLE</v>
      </c>
      <c r="N7" s="47" t="str">
        <f>IFERROR(INDEX(CDB!$A$1:$ZB$18,MATCH($A7,CDB!$A:$A,0),MATCH(Tabela1[[#Headers],[Coluna13]],CDB!$1:$1,0)),"NO DATA AVAILABLE")</f>
        <v>NO DATA AVAILABLE</v>
      </c>
      <c r="O7" s="47" t="str">
        <f>IFERROR(INDEX(CDB!$A$1:$ZB$18,MATCH($A7,CDB!$A:$A,0),MATCH(Tabela1[[#Headers],[Coluna14]],CDB!$1:$1,0)),"NO DATA AVAILABLE")</f>
        <v>NO DATA AVAILABLE</v>
      </c>
      <c r="P7" s="47" t="str">
        <f>IFERROR(INDEX(CDB!$A$1:$ZB$18,MATCH($A7,CDB!$A:$A,0),MATCH(Tabela1[[#Headers],[Coluna15]],CDB!$1:$1,0)),"NO DATA AVAILABLE")</f>
        <v>NO DATA AVAILABLE</v>
      </c>
      <c r="Q7" s="47" t="str">
        <f>IFERROR(INDEX(CDB!$A$1:$ZB$18,MATCH($A7,CDB!$A:$A,0),MATCH(Tabela1[[#Headers],[Coluna16]],CDB!$1:$1,0)),"NO DATA AVAILABLE")</f>
        <v>NO DATA AVAILABLE</v>
      </c>
      <c r="R7" s="47" t="str">
        <f>IFERROR(INDEX(CDB!$A$1:$ZB$18,MATCH($A7,CDB!$A:$A,0),MATCH(Tabela1[[#Headers],[Coluna17]],CDB!$1:$1,0)),"NO DATA AVAILABLE")</f>
        <v>NO DATA AVAILABLE</v>
      </c>
      <c r="S7" s="47" t="str">
        <f>IFERROR(INDEX(CDB!$A$1:$ZB$18,MATCH($A7,CDB!$A:$A,0),MATCH(Tabela1[[#Headers],[Coluna18]],CDB!$1:$1,0)),"NO DATA AVAILABLE")</f>
        <v>NO DATA AVAILABLE</v>
      </c>
      <c r="T7" s="47" t="str">
        <f>IFERROR(INDEX(CDB!$A$1:$ZB$18,MATCH($A7,CDB!$A:$A,0),MATCH(Tabela1[[#Headers],[Coluna19]],CDB!$1:$1,0)),"NO DATA AVAILABLE")</f>
        <v>NO DATA AVAILABLE</v>
      </c>
      <c r="U7" s="47" t="str">
        <f>IFERROR(INDEX(CDB!$A$1:$ZB$18,MATCH($A7,CDB!$A:$A,0),MATCH(Tabela1[[#Headers],[Coluna20]],CDB!$1:$1,0)),"NO DATA AVAILABLE")</f>
        <v>NO DATA AVAILABLE</v>
      </c>
    </row>
    <row r="8" spans="1:21" s="2" customFormat="1" ht="70.25" customHeight="1" x14ac:dyDescent="0.45">
      <c r="A8" s="36" t="s">
        <v>7</v>
      </c>
      <c r="B8" s="47" t="str">
        <f>IFERROR(INDEX(CDB!$A$1:$ZB$18,MATCH($A8,CDB!$A:$A,0),MATCH(Tabela1[[#Headers],[F2U_1p0T3MHEV_MY27_SA]],CDB!$1:$1,0)),"NO DATA AVAILABLE")</f>
        <v>NO DATA AVAILABLE</v>
      </c>
      <c r="C8" s="47" t="str">
        <f>IFERROR(INDEX(CDB!$A$1:$ZB$18,MATCH($A8,CDB!$A:$A,0),MATCH(Tabela1[[#Headers],[CC24_1p0T3_MY25_SA]],CDB!$1:$1,0)),"NO DATA AVAILABLE")</f>
        <v>NO DATA AVAILABLE</v>
      </c>
      <c r="D8" s="47" t="str">
        <f>IFERROR(INDEX(CDB!$A$1:$ZB$18,MATCH($A8,CDB!$A:$A,0),MATCH(Tabela1[[#Headers],[Coluna3]],CDB!$1:$1,0)),"NO DATA AVAILABLE")</f>
        <v>NO DATA AVAILABLE</v>
      </c>
      <c r="E8" s="47" t="str">
        <f>IFERROR(INDEX(CDB!$A$1:$ZB$18,MATCH($A8,CDB!$A:$A,0),MATCH(Tabela1[[#Headers],[Coluna4]],CDB!$1:$1,0)),"NO DATA AVAILABLE")</f>
        <v>NO DATA AVAILABLE</v>
      </c>
      <c r="F8" s="47" t="str">
        <f>IFERROR(INDEX(CDB!$A$1:$ZB$18,MATCH($A8,CDB!$A:$A,0),MATCH(Tabela1[[#Headers],[Coluna5]],CDB!$1:$1,0)),"NO DATA AVAILABLE")</f>
        <v>NO DATA AVAILABLE</v>
      </c>
      <c r="G8" s="47" t="str">
        <f>IFERROR(INDEX(CDB!$A$1:$ZB$18,MATCH($A8,CDB!$A:$A,0),MATCH(Tabela1[[#Headers],[Coluna6]],CDB!$1:$1,0)),"NO DATA AVAILABLE")</f>
        <v>NO DATA AVAILABLE</v>
      </c>
      <c r="H8" s="47" t="str">
        <f>IFERROR(INDEX(CDB!$A$1:$ZB$18,MATCH($A8,CDB!$A:$A,0),MATCH(Tabela1[[#Headers],[Coluna7]],CDB!$1:$1,0)),"NO DATA AVAILABLE")</f>
        <v>NO DATA AVAILABLE</v>
      </c>
      <c r="I8" s="47" t="str">
        <f>IFERROR(INDEX(CDB!$A$1:$ZB$18,MATCH($A8,CDB!$A:$A,0),MATCH(Tabela1[[#Headers],[Coluna8]],CDB!$1:$1,0)),"NO DATA AVAILABLE")</f>
        <v>NO DATA AVAILABLE</v>
      </c>
      <c r="J8" s="47" t="str">
        <f>IFERROR(INDEX(CDB!$A$1:$ZB$18,MATCH($A8,CDB!$A:$A,0),MATCH(Tabela1[[#Headers],[Coluna9]],CDB!$1:$1,0)),"NO DATA AVAILABLE")</f>
        <v>NO DATA AVAILABLE</v>
      </c>
      <c r="K8" s="47" t="str">
        <f>IFERROR(INDEX(CDB!$A$1:$ZB$18,MATCH($A8,CDB!$A:$A,0),MATCH(Tabela1[[#Headers],[Coluna10]],CDB!$1:$1,0)),"NO DATA AVAILABLE")</f>
        <v>NO DATA AVAILABLE</v>
      </c>
      <c r="L8" s="47" t="str">
        <f>IFERROR(INDEX(CDB!$A$1:$ZB$18,MATCH($A8,CDB!$A:$A,0),MATCH(Tabela1[[#Headers],[Coluna11]],CDB!$1:$1,0)),"NO DATA AVAILABLE")</f>
        <v>NO DATA AVAILABLE</v>
      </c>
      <c r="M8" s="47" t="str">
        <f>IFERROR(INDEX(CDB!$A$1:$ZB$18,MATCH($A8,CDB!$A:$A,0),MATCH(Tabela1[[#Headers],[Coluna12]],CDB!$1:$1,0)),"NO DATA AVAILABLE")</f>
        <v>NO DATA AVAILABLE</v>
      </c>
      <c r="N8" s="47" t="str">
        <f>IFERROR(INDEX(CDB!$A$1:$ZB$18,MATCH($A8,CDB!$A:$A,0),MATCH(Tabela1[[#Headers],[Coluna13]],CDB!$1:$1,0)),"NO DATA AVAILABLE")</f>
        <v>NO DATA AVAILABLE</v>
      </c>
      <c r="O8" s="47" t="str">
        <f>IFERROR(INDEX(CDB!$A$1:$ZB$18,MATCH($A8,CDB!$A:$A,0),MATCH(Tabela1[[#Headers],[Coluna14]],CDB!$1:$1,0)),"NO DATA AVAILABLE")</f>
        <v>NO DATA AVAILABLE</v>
      </c>
      <c r="P8" s="47" t="str">
        <f>IFERROR(INDEX(CDB!$A$1:$ZB$18,MATCH($A8,CDB!$A:$A,0),MATCH(Tabela1[[#Headers],[Coluna15]],CDB!$1:$1,0)),"NO DATA AVAILABLE")</f>
        <v>NO DATA AVAILABLE</v>
      </c>
      <c r="Q8" s="47" t="str">
        <f>IFERROR(INDEX(CDB!$A$1:$ZB$18,MATCH($A8,CDB!$A:$A,0),MATCH(Tabela1[[#Headers],[Coluna16]],CDB!$1:$1,0)),"NO DATA AVAILABLE")</f>
        <v>NO DATA AVAILABLE</v>
      </c>
      <c r="R8" s="47" t="str">
        <f>IFERROR(INDEX(CDB!$A$1:$ZB$18,MATCH($A8,CDB!$A:$A,0),MATCH(Tabela1[[#Headers],[Coluna17]],CDB!$1:$1,0)),"NO DATA AVAILABLE")</f>
        <v>NO DATA AVAILABLE</v>
      </c>
      <c r="S8" s="47" t="str">
        <f>IFERROR(INDEX(CDB!$A$1:$ZB$18,MATCH($A8,CDB!$A:$A,0),MATCH(Tabela1[[#Headers],[Coluna18]],CDB!$1:$1,0)),"NO DATA AVAILABLE")</f>
        <v>NO DATA AVAILABLE</v>
      </c>
      <c r="T8" s="47" t="str">
        <f>IFERROR(INDEX(CDB!$A$1:$ZB$18,MATCH($A8,CDB!$A:$A,0),MATCH(Tabela1[[#Headers],[Coluna19]],CDB!$1:$1,0)),"NO DATA AVAILABLE")</f>
        <v>NO DATA AVAILABLE</v>
      </c>
      <c r="U8" s="47" t="str">
        <f>IFERROR(INDEX(CDB!$A$1:$ZB$18,MATCH($A8,CDB!$A:$A,0),MATCH(Tabela1[[#Headers],[Coluna20]],CDB!$1:$1,0)),"NO DATA AVAILABLE")</f>
        <v>NO DATA AVAILABLE</v>
      </c>
    </row>
    <row r="9" spans="1:21" s="2" customFormat="1" ht="70.25" customHeight="1" x14ac:dyDescent="0.45">
      <c r="A9" s="36" t="s">
        <v>8</v>
      </c>
      <c r="B9" s="47" t="str">
        <f>IFERROR(INDEX(CDB!$A$1:$ZB$18,MATCH($A9,CDB!$A:$A,0),MATCH(Tabela1[[#Headers],[F2U_1p0T3MHEV_MY27_SA]],CDB!$1:$1,0)),"NO DATA AVAILABLE")</f>
        <v>NO DATA AVAILABLE</v>
      </c>
      <c r="C9" s="47" t="str">
        <f>IFERROR(INDEX(CDB!$A$1:$ZB$18,MATCH($A9,CDB!$A:$A,0),MATCH(Tabela1[[#Headers],[CC24_1p0T3_MY25_SA]],CDB!$1:$1,0)),"NO DATA AVAILABLE")</f>
        <v>NO DATA AVAILABLE</v>
      </c>
      <c r="D9" s="47" t="str">
        <f>IFERROR(INDEX(CDB!$A$1:$ZB$18,MATCH($A9,CDB!$A:$A,0),MATCH(Tabela1[[#Headers],[Coluna3]],CDB!$1:$1,0)),"NO DATA AVAILABLE")</f>
        <v>NO DATA AVAILABLE</v>
      </c>
      <c r="E9" s="47" t="str">
        <f>IFERROR(INDEX(CDB!$A$1:$ZB$18,MATCH($A9,CDB!$A:$A,0),MATCH(Tabela1[[#Headers],[Coluna4]],CDB!$1:$1,0)),"NO DATA AVAILABLE")</f>
        <v>NO DATA AVAILABLE</v>
      </c>
      <c r="F9" s="47" t="str">
        <f>IFERROR(INDEX(CDB!$A$1:$ZB$18,MATCH($A9,CDB!$A:$A,0),MATCH(Tabela1[[#Headers],[Coluna5]],CDB!$1:$1,0)),"NO DATA AVAILABLE")</f>
        <v>NO DATA AVAILABLE</v>
      </c>
      <c r="G9" s="47" t="str">
        <f>IFERROR(INDEX(CDB!$A$1:$ZB$18,MATCH($A9,CDB!$A:$A,0),MATCH(Tabela1[[#Headers],[Coluna6]],CDB!$1:$1,0)),"NO DATA AVAILABLE")</f>
        <v>NO DATA AVAILABLE</v>
      </c>
      <c r="H9" s="47" t="str">
        <f>IFERROR(INDEX(CDB!$A$1:$ZB$18,MATCH($A9,CDB!$A:$A,0),MATCH(Tabela1[[#Headers],[Coluna7]],CDB!$1:$1,0)),"NO DATA AVAILABLE")</f>
        <v>NO DATA AVAILABLE</v>
      </c>
      <c r="I9" s="47" t="str">
        <f>IFERROR(INDEX(CDB!$A$1:$ZB$18,MATCH($A9,CDB!$A:$A,0),MATCH(Tabela1[[#Headers],[Coluna8]],CDB!$1:$1,0)),"NO DATA AVAILABLE")</f>
        <v>NO DATA AVAILABLE</v>
      </c>
      <c r="J9" s="47" t="str">
        <f>IFERROR(INDEX(CDB!$A$1:$ZB$18,MATCH($A9,CDB!$A:$A,0),MATCH(Tabela1[[#Headers],[Coluna9]],CDB!$1:$1,0)),"NO DATA AVAILABLE")</f>
        <v>NO DATA AVAILABLE</v>
      </c>
      <c r="K9" s="47" t="str">
        <f>IFERROR(INDEX(CDB!$A$1:$ZB$18,MATCH($A9,CDB!$A:$A,0),MATCH(Tabela1[[#Headers],[Coluna10]],CDB!$1:$1,0)),"NO DATA AVAILABLE")</f>
        <v>NO DATA AVAILABLE</v>
      </c>
      <c r="L9" s="47" t="str">
        <f>IFERROR(INDEX(CDB!$A$1:$ZB$18,MATCH($A9,CDB!$A:$A,0),MATCH(Tabela1[[#Headers],[Coluna11]],CDB!$1:$1,0)),"NO DATA AVAILABLE")</f>
        <v>NO DATA AVAILABLE</v>
      </c>
      <c r="M9" s="47" t="str">
        <f>IFERROR(INDEX(CDB!$A$1:$ZB$18,MATCH($A9,CDB!$A:$A,0),MATCH(Tabela1[[#Headers],[Coluna12]],CDB!$1:$1,0)),"NO DATA AVAILABLE")</f>
        <v>NO DATA AVAILABLE</v>
      </c>
      <c r="N9" s="47" t="str">
        <f>IFERROR(INDEX(CDB!$A$1:$ZB$18,MATCH($A9,CDB!$A:$A,0),MATCH(Tabela1[[#Headers],[Coluna13]],CDB!$1:$1,0)),"NO DATA AVAILABLE")</f>
        <v>NO DATA AVAILABLE</v>
      </c>
      <c r="O9" s="47" t="str">
        <f>IFERROR(INDEX(CDB!$A$1:$ZB$18,MATCH($A9,CDB!$A:$A,0),MATCH(Tabela1[[#Headers],[Coluna14]],CDB!$1:$1,0)),"NO DATA AVAILABLE")</f>
        <v>NO DATA AVAILABLE</v>
      </c>
      <c r="P9" s="47" t="str">
        <f>IFERROR(INDEX(CDB!$A$1:$ZB$18,MATCH($A9,CDB!$A:$A,0),MATCH(Tabela1[[#Headers],[Coluna15]],CDB!$1:$1,0)),"NO DATA AVAILABLE")</f>
        <v>NO DATA AVAILABLE</v>
      </c>
      <c r="Q9" s="47" t="str">
        <f>IFERROR(INDEX(CDB!$A$1:$ZB$18,MATCH($A9,CDB!$A:$A,0),MATCH(Tabela1[[#Headers],[Coluna16]],CDB!$1:$1,0)),"NO DATA AVAILABLE")</f>
        <v>NO DATA AVAILABLE</v>
      </c>
      <c r="R9" s="47" t="str">
        <f>IFERROR(INDEX(CDB!$A$1:$ZB$18,MATCH($A9,CDB!$A:$A,0),MATCH(Tabela1[[#Headers],[Coluna17]],CDB!$1:$1,0)),"NO DATA AVAILABLE")</f>
        <v>NO DATA AVAILABLE</v>
      </c>
      <c r="S9" s="47" t="str">
        <f>IFERROR(INDEX(CDB!$A$1:$ZB$18,MATCH($A9,CDB!$A:$A,0),MATCH(Tabela1[[#Headers],[Coluna18]],CDB!$1:$1,0)),"NO DATA AVAILABLE")</f>
        <v>NO DATA AVAILABLE</v>
      </c>
      <c r="T9" s="47" t="str">
        <f>IFERROR(INDEX(CDB!$A$1:$ZB$18,MATCH($A9,CDB!$A:$A,0),MATCH(Tabela1[[#Headers],[Coluna19]],CDB!$1:$1,0)),"NO DATA AVAILABLE")</f>
        <v>NO DATA AVAILABLE</v>
      </c>
      <c r="U9" s="47" t="str">
        <f>IFERROR(INDEX(CDB!$A$1:$ZB$18,MATCH($A9,CDB!$A:$A,0),MATCH(Tabela1[[#Headers],[Coluna20]],CDB!$1:$1,0)),"NO DATA AVAILABLE")</f>
        <v>NO DATA AVAILABLE</v>
      </c>
    </row>
    <row r="10" spans="1:21" s="2" customFormat="1" ht="70.25" customHeight="1" x14ac:dyDescent="0.45">
      <c r="A10" s="36" t="s">
        <v>9</v>
      </c>
      <c r="B10" s="47" t="str">
        <f>IFERROR(INDEX(CDB!$A$1:$ZB$18,MATCH($A10,CDB!$A:$A,0),MATCH(Tabela1[[#Headers],[F2U_1p0T3MHEV_MY27_SA]],CDB!$1:$1,0)),"NO DATA AVAILABLE")</f>
        <v>NO DATA AVAILABLE</v>
      </c>
      <c r="C10" s="47" t="str">
        <f>IFERROR(INDEX(CDB!$A$1:$ZB$18,MATCH($A10,CDB!$A:$A,0),MATCH(Tabela1[[#Headers],[CC24_1p0T3_MY25_SA]],CDB!$1:$1,0)),"NO DATA AVAILABLE")</f>
        <v>NO DATA AVAILABLE</v>
      </c>
      <c r="D10" s="47" t="str">
        <f>IFERROR(INDEX(CDB!$A$1:$ZB$18,MATCH($A10,CDB!$A:$A,0),MATCH(Tabela1[[#Headers],[Coluna3]],CDB!$1:$1,0)),"NO DATA AVAILABLE")</f>
        <v>NO DATA AVAILABLE</v>
      </c>
      <c r="E10" s="47" t="str">
        <f>IFERROR(INDEX(CDB!$A$1:$ZB$18,MATCH($A10,CDB!$A:$A,0),MATCH(Tabela1[[#Headers],[Coluna4]],CDB!$1:$1,0)),"NO DATA AVAILABLE")</f>
        <v>NO DATA AVAILABLE</v>
      </c>
      <c r="F10" s="47" t="str">
        <f>IFERROR(INDEX(CDB!$A$1:$ZB$18,MATCH($A10,CDB!$A:$A,0),MATCH(Tabela1[[#Headers],[Coluna5]],CDB!$1:$1,0)),"NO DATA AVAILABLE")</f>
        <v>NO DATA AVAILABLE</v>
      </c>
      <c r="G10" s="47" t="str">
        <f>IFERROR(INDEX(CDB!$A$1:$ZB$18,MATCH($A10,CDB!$A:$A,0),MATCH(Tabela1[[#Headers],[Coluna6]],CDB!$1:$1,0)),"NO DATA AVAILABLE")</f>
        <v>NO DATA AVAILABLE</v>
      </c>
      <c r="H10" s="47" t="str">
        <f>IFERROR(INDEX(CDB!$A$1:$ZB$18,MATCH($A10,CDB!$A:$A,0),MATCH(Tabela1[[#Headers],[Coluna7]],CDB!$1:$1,0)),"NO DATA AVAILABLE")</f>
        <v>NO DATA AVAILABLE</v>
      </c>
      <c r="I10" s="47" t="str">
        <f>IFERROR(INDEX(CDB!$A$1:$ZB$18,MATCH($A10,CDB!$A:$A,0),MATCH(Tabela1[[#Headers],[Coluna8]],CDB!$1:$1,0)),"NO DATA AVAILABLE")</f>
        <v>NO DATA AVAILABLE</v>
      </c>
      <c r="J10" s="47" t="str">
        <f>IFERROR(INDEX(CDB!$A$1:$ZB$18,MATCH($A10,CDB!$A:$A,0),MATCH(Tabela1[[#Headers],[Coluna9]],CDB!$1:$1,0)),"NO DATA AVAILABLE")</f>
        <v>NO DATA AVAILABLE</v>
      </c>
      <c r="K10" s="47" t="str">
        <f>IFERROR(INDEX(CDB!$A$1:$ZB$18,MATCH($A10,CDB!$A:$A,0),MATCH(Tabela1[[#Headers],[Coluna10]],CDB!$1:$1,0)),"NO DATA AVAILABLE")</f>
        <v>NO DATA AVAILABLE</v>
      </c>
      <c r="L10" s="47" t="str">
        <f>IFERROR(INDEX(CDB!$A$1:$ZB$18,MATCH($A10,CDB!$A:$A,0),MATCH(Tabela1[[#Headers],[Coluna11]],CDB!$1:$1,0)),"NO DATA AVAILABLE")</f>
        <v>NO DATA AVAILABLE</v>
      </c>
      <c r="M10" s="47" t="str">
        <f>IFERROR(INDEX(CDB!$A$1:$ZB$18,MATCH($A10,CDB!$A:$A,0),MATCH(Tabela1[[#Headers],[Coluna12]],CDB!$1:$1,0)),"NO DATA AVAILABLE")</f>
        <v>NO DATA AVAILABLE</v>
      </c>
      <c r="N10" s="47" t="str">
        <f>IFERROR(INDEX(CDB!$A$1:$ZB$18,MATCH($A10,CDB!$A:$A,0),MATCH(Tabela1[[#Headers],[Coluna13]],CDB!$1:$1,0)),"NO DATA AVAILABLE")</f>
        <v>NO DATA AVAILABLE</v>
      </c>
      <c r="O10" s="47" t="str">
        <f>IFERROR(INDEX(CDB!$A$1:$ZB$18,MATCH($A10,CDB!$A:$A,0),MATCH(Tabela1[[#Headers],[Coluna14]],CDB!$1:$1,0)),"NO DATA AVAILABLE")</f>
        <v>NO DATA AVAILABLE</v>
      </c>
      <c r="P10" s="47" t="str">
        <f>IFERROR(INDEX(CDB!$A$1:$ZB$18,MATCH($A10,CDB!$A:$A,0),MATCH(Tabela1[[#Headers],[Coluna15]],CDB!$1:$1,0)),"NO DATA AVAILABLE")</f>
        <v>NO DATA AVAILABLE</v>
      </c>
      <c r="Q10" s="47" t="str">
        <f>IFERROR(INDEX(CDB!$A$1:$ZB$18,MATCH($A10,CDB!$A:$A,0),MATCH(Tabela1[[#Headers],[Coluna16]],CDB!$1:$1,0)),"NO DATA AVAILABLE")</f>
        <v>NO DATA AVAILABLE</v>
      </c>
      <c r="R10" s="47" t="str">
        <f>IFERROR(INDEX(CDB!$A$1:$ZB$18,MATCH($A10,CDB!$A:$A,0),MATCH(Tabela1[[#Headers],[Coluna17]],CDB!$1:$1,0)),"NO DATA AVAILABLE")</f>
        <v>NO DATA AVAILABLE</v>
      </c>
      <c r="S10" s="47" t="str">
        <f>IFERROR(INDEX(CDB!$A$1:$ZB$18,MATCH($A10,CDB!$A:$A,0),MATCH(Tabela1[[#Headers],[Coluna18]],CDB!$1:$1,0)),"NO DATA AVAILABLE")</f>
        <v>NO DATA AVAILABLE</v>
      </c>
      <c r="T10" s="47" t="str">
        <f>IFERROR(INDEX(CDB!$A$1:$ZB$18,MATCH($A10,CDB!$A:$A,0),MATCH(Tabela1[[#Headers],[Coluna19]],CDB!$1:$1,0)),"NO DATA AVAILABLE")</f>
        <v>NO DATA AVAILABLE</v>
      </c>
      <c r="U10" s="47" t="str">
        <f>IFERROR(INDEX(CDB!$A$1:$ZB$18,MATCH($A10,CDB!$A:$A,0),MATCH(Tabela1[[#Headers],[Coluna20]],CDB!$1:$1,0)),"NO DATA AVAILABLE")</f>
        <v>NO DATA AVAILABLE</v>
      </c>
    </row>
    <row r="11" spans="1:21" s="2" customFormat="1" ht="70.25" customHeight="1" x14ac:dyDescent="0.45">
      <c r="A11" s="36" t="s">
        <v>10</v>
      </c>
      <c r="B11" s="47" t="str">
        <f>IFERROR(INDEX(CDB!$A$1:$ZB$18,MATCH($A11,CDB!$A:$A,0),MATCH(Tabela1[[#Headers],[F2U_1p0T3MHEV_MY27_SA]],CDB!$1:$1,0)),"NO DATA AVAILABLE")</f>
        <v>NO DATA AVAILABLE</v>
      </c>
      <c r="C11" s="47" t="str">
        <f>IFERROR(INDEX(CDB!$A$1:$ZB$18,MATCH($A11,CDB!$A:$A,0),MATCH(Tabela1[[#Headers],[CC24_1p0T3_MY25_SA]],CDB!$1:$1,0)),"NO DATA AVAILABLE")</f>
        <v>NO DATA AVAILABLE</v>
      </c>
      <c r="D11" s="47" t="str">
        <f>IFERROR(INDEX(CDB!$A$1:$ZB$18,MATCH($A11,CDB!$A:$A,0),MATCH(Tabela1[[#Headers],[Coluna3]],CDB!$1:$1,0)),"NO DATA AVAILABLE")</f>
        <v>NO DATA AVAILABLE</v>
      </c>
      <c r="E11" s="47" t="str">
        <f>IFERROR(INDEX(CDB!$A$1:$ZB$18,MATCH($A11,CDB!$A:$A,0),MATCH(Tabela1[[#Headers],[Coluna4]],CDB!$1:$1,0)),"NO DATA AVAILABLE")</f>
        <v>NO DATA AVAILABLE</v>
      </c>
      <c r="F11" s="47" t="str">
        <f>IFERROR(INDEX(CDB!$A$1:$ZB$18,MATCH($A11,CDB!$A:$A,0),MATCH(Tabela1[[#Headers],[Coluna5]],CDB!$1:$1,0)),"NO DATA AVAILABLE")</f>
        <v>NO DATA AVAILABLE</v>
      </c>
      <c r="G11" s="47" t="str">
        <f>IFERROR(INDEX(CDB!$A$1:$ZB$18,MATCH($A11,CDB!$A:$A,0),MATCH(Tabela1[[#Headers],[Coluna6]],CDB!$1:$1,0)),"NO DATA AVAILABLE")</f>
        <v>NO DATA AVAILABLE</v>
      </c>
      <c r="H11" s="47" t="str">
        <f>IFERROR(INDEX(CDB!$A$1:$ZB$18,MATCH($A11,CDB!$A:$A,0),MATCH(Tabela1[[#Headers],[Coluna7]],CDB!$1:$1,0)),"NO DATA AVAILABLE")</f>
        <v>NO DATA AVAILABLE</v>
      </c>
      <c r="I11" s="47" t="str">
        <f>IFERROR(INDEX(CDB!$A$1:$ZB$18,MATCH($A11,CDB!$A:$A,0),MATCH(Tabela1[[#Headers],[Coluna8]],CDB!$1:$1,0)),"NO DATA AVAILABLE")</f>
        <v>NO DATA AVAILABLE</v>
      </c>
      <c r="J11" s="47" t="str">
        <f>IFERROR(INDEX(CDB!$A$1:$ZB$18,MATCH($A11,CDB!$A:$A,0),MATCH(Tabela1[[#Headers],[Coluna9]],CDB!$1:$1,0)),"NO DATA AVAILABLE")</f>
        <v>NO DATA AVAILABLE</v>
      </c>
      <c r="K11" s="47" t="str">
        <f>IFERROR(INDEX(CDB!$A$1:$ZB$18,MATCH($A11,CDB!$A:$A,0),MATCH(Tabela1[[#Headers],[Coluna10]],CDB!$1:$1,0)),"NO DATA AVAILABLE")</f>
        <v>NO DATA AVAILABLE</v>
      </c>
      <c r="L11" s="47" t="str">
        <f>IFERROR(INDEX(CDB!$A$1:$ZB$18,MATCH($A11,CDB!$A:$A,0),MATCH(Tabela1[[#Headers],[Coluna11]],CDB!$1:$1,0)),"NO DATA AVAILABLE")</f>
        <v>NO DATA AVAILABLE</v>
      </c>
      <c r="M11" s="47" t="str">
        <f>IFERROR(INDEX(CDB!$A$1:$ZB$18,MATCH($A11,CDB!$A:$A,0),MATCH(Tabela1[[#Headers],[Coluna12]],CDB!$1:$1,0)),"NO DATA AVAILABLE")</f>
        <v>NO DATA AVAILABLE</v>
      </c>
      <c r="N11" s="47" t="str">
        <f>IFERROR(INDEX(CDB!$A$1:$ZB$18,MATCH($A11,CDB!$A:$A,0),MATCH(Tabela1[[#Headers],[Coluna13]],CDB!$1:$1,0)),"NO DATA AVAILABLE")</f>
        <v>NO DATA AVAILABLE</v>
      </c>
      <c r="O11" s="47" t="str">
        <f>IFERROR(INDEX(CDB!$A$1:$ZB$18,MATCH($A11,CDB!$A:$A,0),MATCH(Tabela1[[#Headers],[Coluna14]],CDB!$1:$1,0)),"NO DATA AVAILABLE")</f>
        <v>NO DATA AVAILABLE</v>
      </c>
      <c r="P11" s="47" t="str">
        <f>IFERROR(INDEX(CDB!$A$1:$ZB$18,MATCH($A11,CDB!$A:$A,0),MATCH(Tabela1[[#Headers],[Coluna15]],CDB!$1:$1,0)),"NO DATA AVAILABLE")</f>
        <v>NO DATA AVAILABLE</v>
      </c>
      <c r="Q11" s="47" t="str">
        <f>IFERROR(INDEX(CDB!$A$1:$ZB$18,MATCH($A11,CDB!$A:$A,0),MATCH(Tabela1[[#Headers],[Coluna16]],CDB!$1:$1,0)),"NO DATA AVAILABLE")</f>
        <v>NO DATA AVAILABLE</v>
      </c>
      <c r="R11" s="47" t="str">
        <f>IFERROR(INDEX(CDB!$A$1:$ZB$18,MATCH($A11,CDB!$A:$A,0),MATCH(Tabela1[[#Headers],[Coluna17]],CDB!$1:$1,0)),"NO DATA AVAILABLE")</f>
        <v>NO DATA AVAILABLE</v>
      </c>
      <c r="S11" s="47" t="str">
        <f>IFERROR(INDEX(CDB!$A$1:$ZB$18,MATCH($A11,CDB!$A:$A,0),MATCH(Tabela1[[#Headers],[Coluna18]],CDB!$1:$1,0)),"NO DATA AVAILABLE")</f>
        <v>NO DATA AVAILABLE</v>
      </c>
      <c r="T11" s="47" t="str">
        <f>IFERROR(INDEX(CDB!$A$1:$ZB$18,MATCH($A11,CDB!$A:$A,0),MATCH(Tabela1[[#Headers],[Coluna19]],CDB!$1:$1,0)),"NO DATA AVAILABLE")</f>
        <v>NO DATA AVAILABLE</v>
      </c>
      <c r="U11" s="47" t="str">
        <f>IFERROR(INDEX(CDB!$A$1:$ZB$18,MATCH($A11,CDB!$A:$A,0),MATCH(Tabela1[[#Headers],[Coluna20]],CDB!$1:$1,0)),"NO DATA AVAILABLE")</f>
        <v>NO DATA AVAILABLE</v>
      </c>
    </row>
    <row r="12" spans="1:21" s="2" customFormat="1" ht="70.25" customHeight="1" x14ac:dyDescent="0.45">
      <c r="A12" s="36" t="s">
        <v>11</v>
      </c>
      <c r="B12" s="47" t="str">
        <f>IFERROR(INDEX(CDB!$A$1:$ZB$18,MATCH($A12,CDB!$A:$A,0),MATCH(Tabela1[[#Headers],[F2U_1p0T3MHEV_MY27_SA]],CDB!$1:$1,0)),"NO DATA AVAILABLE")</f>
        <v>NO DATA AVAILABLE</v>
      </c>
      <c r="C12" s="47" t="str">
        <f>IFERROR(INDEX(CDB!$A$1:$ZB$18,MATCH($A12,CDB!$A:$A,0),MATCH(Tabela1[[#Headers],[CC24_1p0T3_MY25_SA]],CDB!$1:$1,0)),"NO DATA AVAILABLE")</f>
        <v>NO DATA AVAILABLE</v>
      </c>
      <c r="D12" s="47" t="str">
        <f>IFERROR(INDEX(CDB!$A$1:$ZB$18,MATCH($A12,CDB!$A:$A,0),MATCH(Tabela1[[#Headers],[Coluna3]],CDB!$1:$1,0)),"NO DATA AVAILABLE")</f>
        <v>NO DATA AVAILABLE</v>
      </c>
      <c r="E12" s="47" t="str">
        <f>IFERROR(INDEX(CDB!$A$1:$ZB$18,MATCH($A12,CDB!$A:$A,0),MATCH(Tabela1[[#Headers],[Coluna4]],CDB!$1:$1,0)),"NO DATA AVAILABLE")</f>
        <v>NO DATA AVAILABLE</v>
      </c>
      <c r="F12" s="47" t="str">
        <f>IFERROR(INDEX(CDB!$A$1:$ZB$18,MATCH($A12,CDB!$A:$A,0),MATCH(Tabela1[[#Headers],[Coluna5]],CDB!$1:$1,0)),"NO DATA AVAILABLE")</f>
        <v>NO DATA AVAILABLE</v>
      </c>
      <c r="G12" s="47" t="str">
        <f>IFERROR(INDEX(CDB!$A$1:$ZB$18,MATCH($A12,CDB!$A:$A,0),MATCH(Tabela1[[#Headers],[Coluna6]],CDB!$1:$1,0)),"NO DATA AVAILABLE")</f>
        <v>NO DATA AVAILABLE</v>
      </c>
      <c r="H12" s="47" t="str">
        <f>IFERROR(INDEX(CDB!$A$1:$ZB$18,MATCH($A12,CDB!$A:$A,0),MATCH(Tabela1[[#Headers],[Coluna7]],CDB!$1:$1,0)),"NO DATA AVAILABLE")</f>
        <v>NO DATA AVAILABLE</v>
      </c>
      <c r="I12" s="47" t="str">
        <f>IFERROR(INDEX(CDB!$A$1:$ZB$18,MATCH($A12,CDB!$A:$A,0),MATCH(Tabela1[[#Headers],[Coluna8]],CDB!$1:$1,0)),"NO DATA AVAILABLE")</f>
        <v>NO DATA AVAILABLE</v>
      </c>
      <c r="J12" s="47" t="str">
        <f>IFERROR(INDEX(CDB!$A$1:$ZB$18,MATCH($A12,CDB!$A:$A,0),MATCH(Tabela1[[#Headers],[Coluna9]],CDB!$1:$1,0)),"NO DATA AVAILABLE")</f>
        <v>NO DATA AVAILABLE</v>
      </c>
      <c r="K12" s="47" t="str">
        <f>IFERROR(INDEX(CDB!$A$1:$ZB$18,MATCH($A12,CDB!$A:$A,0),MATCH(Tabela1[[#Headers],[Coluna10]],CDB!$1:$1,0)),"NO DATA AVAILABLE")</f>
        <v>NO DATA AVAILABLE</v>
      </c>
      <c r="L12" s="47" t="str">
        <f>IFERROR(INDEX(CDB!$A$1:$ZB$18,MATCH($A12,CDB!$A:$A,0),MATCH(Tabela1[[#Headers],[Coluna11]],CDB!$1:$1,0)),"NO DATA AVAILABLE")</f>
        <v>NO DATA AVAILABLE</v>
      </c>
      <c r="M12" s="47" t="str">
        <f>IFERROR(INDEX(CDB!$A$1:$ZB$18,MATCH($A12,CDB!$A:$A,0),MATCH(Tabela1[[#Headers],[Coluna12]],CDB!$1:$1,0)),"NO DATA AVAILABLE")</f>
        <v>NO DATA AVAILABLE</v>
      </c>
      <c r="N12" s="47" t="str">
        <f>IFERROR(INDEX(CDB!$A$1:$ZB$18,MATCH($A12,CDB!$A:$A,0),MATCH(Tabela1[[#Headers],[Coluna13]],CDB!$1:$1,0)),"NO DATA AVAILABLE")</f>
        <v>NO DATA AVAILABLE</v>
      </c>
      <c r="O12" s="47" t="str">
        <f>IFERROR(INDEX(CDB!$A$1:$ZB$18,MATCH($A12,CDB!$A:$A,0),MATCH(Tabela1[[#Headers],[Coluna14]],CDB!$1:$1,0)),"NO DATA AVAILABLE")</f>
        <v>NO DATA AVAILABLE</v>
      </c>
      <c r="P12" s="47" t="str">
        <f>IFERROR(INDEX(CDB!$A$1:$ZB$18,MATCH($A12,CDB!$A:$A,0),MATCH(Tabela1[[#Headers],[Coluna15]],CDB!$1:$1,0)),"NO DATA AVAILABLE")</f>
        <v>NO DATA AVAILABLE</v>
      </c>
      <c r="Q12" s="47" t="str">
        <f>IFERROR(INDEX(CDB!$A$1:$ZB$18,MATCH($A12,CDB!$A:$A,0),MATCH(Tabela1[[#Headers],[Coluna16]],CDB!$1:$1,0)),"NO DATA AVAILABLE")</f>
        <v>NO DATA AVAILABLE</v>
      </c>
      <c r="R12" s="47" t="str">
        <f>IFERROR(INDEX(CDB!$A$1:$ZB$18,MATCH($A12,CDB!$A:$A,0),MATCH(Tabela1[[#Headers],[Coluna17]],CDB!$1:$1,0)),"NO DATA AVAILABLE")</f>
        <v>NO DATA AVAILABLE</v>
      </c>
      <c r="S12" s="47" t="str">
        <f>IFERROR(INDEX(CDB!$A$1:$ZB$18,MATCH($A12,CDB!$A:$A,0),MATCH(Tabela1[[#Headers],[Coluna18]],CDB!$1:$1,0)),"NO DATA AVAILABLE")</f>
        <v>NO DATA AVAILABLE</v>
      </c>
      <c r="T12" s="47" t="str">
        <f>IFERROR(INDEX(CDB!$A$1:$ZB$18,MATCH($A12,CDB!$A:$A,0),MATCH(Tabela1[[#Headers],[Coluna19]],CDB!$1:$1,0)),"NO DATA AVAILABLE")</f>
        <v>NO DATA AVAILABLE</v>
      </c>
      <c r="U12" s="47" t="str">
        <f>IFERROR(INDEX(CDB!$A$1:$ZB$18,MATCH($A12,CDB!$A:$A,0),MATCH(Tabela1[[#Headers],[Coluna20]],CDB!$1:$1,0)),"NO DATA AVAILABLE")</f>
        <v>NO DATA AVAILABLE</v>
      </c>
    </row>
    <row r="13" spans="1:21" s="2" customFormat="1" ht="70.25" customHeight="1" x14ac:dyDescent="0.45">
      <c r="A13" s="36" t="s">
        <v>12</v>
      </c>
      <c r="B13" s="47" t="str">
        <f>IFERROR(INDEX(CDB!$A$1:$ZB$18,MATCH($A13,CDB!$A:$A,0),MATCH(Tabela1[[#Headers],[F2U_1p0T3MHEV_MY27_SA]],CDB!$1:$1,0)),"NO DATA AVAILABLE")</f>
        <v>NO DATA AVAILABLE</v>
      </c>
      <c r="C13" s="47" t="str">
        <f>IFERROR(INDEX(CDB!$A$1:$ZB$18,MATCH($A13,CDB!$A:$A,0),MATCH(Tabela1[[#Headers],[CC24_1p0T3_MY25_SA]],CDB!$1:$1,0)),"NO DATA AVAILABLE")</f>
        <v>NO DATA AVAILABLE</v>
      </c>
      <c r="D13" s="47" t="str">
        <f>IFERROR(INDEX(CDB!$A$1:$ZB$18,MATCH($A13,CDB!$A:$A,0),MATCH(Tabela1[[#Headers],[Coluna3]],CDB!$1:$1,0)),"NO DATA AVAILABLE")</f>
        <v>NO DATA AVAILABLE</v>
      </c>
      <c r="E13" s="47" t="str">
        <f>IFERROR(INDEX(CDB!$A$1:$ZB$18,MATCH($A13,CDB!$A:$A,0),MATCH(Tabela1[[#Headers],[Coluna4]],CDB!$1:$1,0)),"NO DATA AVAILABLE")</f>
        <v>NO DATA AVAILABLE</v>
      </c>
      <c r="F13" s="47" t="str">
        <f>IFERROR(INDEX(CDB!$A$1:$ZB$18,MATCH($A13,CDB!$A:$A,0),MATCH(Tabela1[[#Headers],[Coluna5]],CDB!$1:$1,0)),"NO DATA AVAILABLE")</f>
        <v>NO DATA AVAILABLE</v>
      </c>
      <c r="G13" s="47" t="str">
        <f>IFERROR(INDEX(CDB!$A$1:$ZB$18,MATCH($A13,CDB!$A:$A,0),MATCH(Tabela1[[#Headers],[Coluna6]],CDB!$1:$1,0)),"NO DATA AVAILABLE")</f>
        <v>NO DATA AVAILABLE</v>
      </c>
      <c r="H13" s="47" t="str">
        <f>IFERROR(INDEX(CDB!$A$1:$ZB$18,MATCH($A13,CDB!$A:$A,0),MATCH(Tabela1[[#Headers],[Coluna7]],CDB!$1:$1,0)),"NO DATA AVAILABLE")</f>
        <v>NO DATA AVAILABLE</v>
      </c>
      <c r="I13" s="47" t="str">
        <f>IFERROR(INDEX(CDB!$A$1:$ZB$18,MATCH($A13,CDB!$A:$A,0),MATCH(Tabela1[[#Headers],[Coluna8]],CDB!$1:$1,0)),"NO DATA AVAILABLE")</f>
        <v>NO DATA AVAILABLE</v>
      </c>
      <c r="J13" s="47" t="str">
        <f>IFERROR(INDEX(CDB!$A$1:$ZB$18,MATCH($A13,CDB!$A:$A,0),MATCH(Tabela1[[#Headers],[Coluna9]],CDB!$1:$1,0)),"NO DATA AVAILABLE")</f>
        <v>NO DATA AVAILABLE</v>
      </c>
      <c r="K13" s="47" t="str">
        <f>IFERROR(INDEX(CDB!$A$1:$ZB$18,MATCH($A13,CDB!$A:$A,0),MATCH(Tabela1[[#Headers],[Coluna10]],CDB!$1:$1,0)),"NO DATA AVAILABLE")</f>
        <v>NO DATA AVAILABLE</v>
      </c>
      <c r="L13" s="47" t="str">
        <f>IFERROR(INDEX(CDB!$A$1:$ZB$18,MATCH($A13,CDB!$A:$A,0),MATCH(Tabela1[[#Headers],[Coluna11]],CDB!$1:$1,0)),"NO DATA AVAILABLE")</f>
        <v>NO DATA AVAILABLE</v>
      </c>
      <c r="M13" s="47" t="str">
        <f>IFERROR(INDEX(CDB!$A$1:$ZB$18,MATCH($A13,CDB!$A:$A,0),MATCH(Tabela1[[#Headers],[Coluna12]],CDB!$1:$1,0)),"NO DATA AVAILABLE")</f>
        <v>NO DATA AVAILABLE</v>
      </c>
      <c r="N13" s="47" t="str">
        <f>IFERROR(INDEX(CDB!$A$1:$ZB$18,MATCH($A13,CDB!$A:$A,0),MATCH(Tabela1[[#Headers],[Coluna13]],CDB!$1:$1,0)),"NO DATA AVAILABLE")</f>
        <v>NO DATA AVAILABLE</v>
      </c>
      <c r="O13" s="47" t="str">
        <f>IFERROR(INDEX(CDB!$A$1:$ZB$18,MATCH($A13,CDB!$A:$A,0),MATCH(Tabela1[[#Headers],[Coluna14]],CDB!$1:$1,0)),"NO DATA AVAILABLE")</f>
        <v>NO DATA AVAILABLE</v>
      </c>
      <c r="P13" s="47" t="str">
        <f>IFERROR(INDEX(CDB!$A$1:$ZB$18,MATCH($A13,CDB!$A:$A,0),MATCH(Tabela1[[#Headers],[Coluna15]],CDB!$1:$1,0)),"NO DATA AVAILABLE")</f>
        <v>NO DATA AVAILABLE</v>
      </c>
      <c r="Q13" s="47" t="str">
        <f>IFERROR(INDEX(CDB!$A$1:$ZB$18,MATCH($A13,CDB!$A:$A,0),MATCH(Tabela1[[#Headers],[Coluna16]],CDB!$1:$1,0)),"NO DATA AVAILABLE")</f>
        <v>NO DATA AVAILABLE</v>
      </c>
      <c r="R13" s="47" t="str">
        <f>IFERROR(INDEX(CDB!$A$1:$ZB$18,MATCH($A13,CDB!$A:$A,0),MATCH(Tabela1[[#Headers],[Coluna17]],CDB!$1:$1,0)),"NO DATA AVAILABLE")</f>
        <v>NO DATA AVAILABLE</v>
      </c>
      <c r="S13" s="47" t="str">
        <f>IFERROR(INDEX(CDB!$A$1:$ZB$18,MATCH($A13,CDB!$A:$A,0),MATCH(Tabela1[[#Headers],[Coluna18]],CDB!$1:$1,0)),"NO DATA AVAILABLE")</f>
        <v>NO DATA AVAILABLE</v>
      </c>
      <c r="T13" s="47" t="str">
        <f>IFERROR(INDEX(CDB!$A$1:$ZB$18,MATCH($A13,CDB!$A:$A,0),MATCH(Tabela1[[#Headers],[Coluna19]],CDB!$1:$1,0)),"NO DATA AVAILABLE")</f>
        <v>NO DATA AVAILABLE</v>
      </c>
      <c r="U13" s="47" t="str">
        <f>IFERROR(INDEX(CDB!$A$1:$ZB$18,MATCH($A13,CDB!$A:$A,0),MATCH(Tabela1[[#Headers],[Coluna20]],CDB!$1:$1,0)),"NO DATA AVAILABLE")</f>
        <v>NO DATA AVAILABLE</v>
      </c>
    </row>
    <row r="14" spans="1:21" s="2" customFormat="1" ht="70.25" customHeight="1" x14ac:dyDescent="0.45">
      <c r="A14" s="36" t="s">
        <v>13</v>
      </c>
      <c r="B14" s="47" t="str">
        <f>IFERROR(INDEX(CDB!$A$1:$ZB$18,MATCH($A14,CDB!$A:$A,0),MATCH(Tabela1[[#Headers],[F2U_1p0T3MHEV_MY27_SA]],CDB!$1:$1,0)),"NO DATA AVAILABLE")</f>
        <v>NO DATA AVAILABLE</v>
      </c>
      <c r="C14" s="47" t="str">
        <f>IFERROR(INDEX(CDB!$A$1:$ZB$18,MATCH($A14,CDB!$A:$A,0),MATCH(Tabela1[[#Headers],[CC24_1p0T3_MY25_SA]],CDB!$1:$1,0)),"NO DATA AVAILABLE")</f>
        <v>NO DATA AVAILABLE</v>
      </c>
      <c r="D14" s="47" t="str">
        <f>IFERROR(INDEX(CDB!$A$1:$ZB$18,MATCH($A14,CDB!$A:$A,0),MATCH(Tabela1[[#Headers],[Coluna3]],CDB!$1:$1,0)),"NO DATA AVAILABLE")</f>
        <v>NO DATA AVAILABLE</v>
      </c>
      <c r="E14" s="47" t="str">
        <f>IFERROR(INDEX(CDB!$A$1:$ZB$18,MATCH($A14,CDB!$A:$A,0),MATCH(Tabela1[[#Headers],[Coluna4]],CDB!$1:$1,0)),"NO DATA AVAILABLE")</f>
        <v>NO DATA AVAILABLE</v>
      </c>
      <c r="F14" s="47" t="str">
        <f>IFERROR(INDEX(CDB!$A$1:$ZB$18,MATCH($A14,CDB!$A:$A,0),MATCH(Tabela1[[#Headers],[Coluna5]],CDB!$1:$1,0)),"NO DATA AVAILABLE")</f>
        <v>NO DATA AVAILABLE</v>
      </c>
      <c r="G14" s="47" t="str">
        <f>IFERROR(INDEX(CDB!$A$1:$ZB$18,MATCH($A14,CDB!$A:$A,0),MATCH(Tabela1[[#Headers],[Coluna6]],CDB!$1:$1,0)),"NO DATA AVAILABLE")</f>
        <v>NO DATA AVAILABLE</v>
      </c>
      <c r="H14" s="47" t="str">
        <f>IFERROR(INDEX(CDB!$A$1:$ZB$18,MATCH($A14,CDB!$A:$A,0),MATCH(Tabela1[[#Headers],[Coluna7]],CDB!$1:$1,0)),"NO DATA AVAILABLE")</f>
        <v>NO DATA AVAILABLE</v>
      </c>
      <c r="I14" s="47" t="str">
        <f>IFERROR(INDEX(CDB!$A$1:$ZB$18,MATCH($A14,CDB!$A:$A,0),MATCH(Tabela1[[#Headers],[Coluna8]],CDB!$1:$1,0)),"NO DATA AVAILABLE")</f>
        <v>NO DATA AVAILABLE</v>
      </c>
      <c r="J14" s="47" t="str">
        <f>IFERROR(INDEX(CDB!$A$1:$ZB$18,MATCH($A14,CDB!$A:$A,0),MATCH(Tabela1[[#Headers],[Coluna9]],CDB!$1:$1,0)),"NO DATA AVAILABLE")</f>
        <v>NO DATA AVAILABLE</v>
      </c>
      <c r="K14" s="47" t="str">
        <f>IFERROR(INDEX(CDB!$A$1:$ZB$18,MATCH($A14,CDB!$A:$A,0),MATCH(Tabela1[[#Headers],[Coluna10]],CDB!$1:$1,0)),"NO DATA AVAILABLE")</f>
        <v>NO DATA AVAILABLE</v>
      </c>
      <c r="L14" s="47" t="str">
        <f>IFERROR(INDEX(CDB!$A$1:$ZB$18,MATCH($A14,CDB!$A:$A,0),MATCH(Tabela1[[#Headers],[Coluna11]],CDB!$1:$1,0)),"NO DATA AVAILABLE")</f>
        <v>NO DATA AVAILABLE</v>
      </c>
      <c r="M14" s="47" t="str">
        <f>IFERROR(INDEX(CDB!$A$1:$ZB$18,MATCH($A14,CDB!$A:$A,0),MATCH(Tabela1[[#Headers],[Coluna12]],CDB!$1:$1,0)),"NO DATA AVAILABLE")</f>
        <v>NO DATA AVAILABLE</v>
      </c>
      <c r="N14" s="47" t="str">
        <f>IFERROR(INDEX(CDB!$A$1:$ZB$18,MATCH($A14,CDB!$A:$A,0),MATCH(Tabela1[[#Headers],[Coluna13]],CDB!$1:$1,0)),"NO DATA AVAILABLE")</f>
        <v>NO DATA AVAILABLE</v>
      </c>
      <c r="O14" s="47" t="str">
        <f>IFERROR(INDEX(CDB!$A$1:$ZB$18,MATCH($A14,CDB!$A:$A,0),MATCH(Tabela1[[#Headers],[Coluna14]],CDB!$1:$1,0)),"NO DATA AVAILABLE")</f>
        <v>NO DATA AVAILABLE</v>
      </c>
      <c r="P14" s="47" t="str">
        <f>IFERROR(INDEX(CDB!$A$1:$ZB$18,MATCH($A14,CDB!$A:$A,0),MATCH(Tabela1[[#Headers],[Coluna15]],CDB!$1:$1,0)),"NO DATA AVAILABLE")</f>
        <v>NO DATA AVAILABLE</v>
      </c>
      <c r="Q14" s="47" t="str">
        <f>IFERROR(INDEX(CDB!$A$1:$ZB$18,MATCH($A14,CDB!$A:$A,0),MATCH(Tabela1[[#Headers],[Coluna16]],CDB!$1:$1,0)),"NO DATA AVAILABLE")</f>
        <v>NO DATA AVAILABLE</v>
      </c>
      <c r="R14" s="47" t="str">
        <f>IFERROR(INDEX(CDB!$A$1:$ZB$18,MATCH($A14,CDB!$A:$A,0),MATCH(Tabela1[[#Headers],[Coluna17]],CDB!$1:$1,0)),"NO DATA AVAILABLE")</f>
        <v>NO DATA AVAILABLE</v>
      </c>
      <c r="S14" s="47" t="str">
        <f>IFERROR(INDEX(CDB!$A$1:$ZB$18,MATCH($A14,CDB!$A:$A,0),MATCH(Tabela1[[#Headers],[Coluna18]],CDB!$1:$1,0)),"NO DATA AVAILABLE")</f>
        <v>NO DATA AVAILABLE</v>
      </c>
      <c r="T14" s="47" t="str">
        <f>IFERROR(INDEX(CDB!$A$1:$ZB$18,MATCH($A14,CDB!$A:$A,0),MATCH(Tabela1[[#Headers],[Coluna19]],CDB!$1:$1,0)),"NO DATA AVAILABLE")</f>
        <v>NO DATA AVAILABLE</v>
      </c>
      <c r="U14" s="47" t="str">
        <f>IFERROR(INDEX(CDB!$A$1:$ZB$18,MATCH($A14,CDB!$A:$A,0),MATCH(Tabela1[[#Headers],[Coluna20]],CDB!$1:$1,0)),"NO DATA AVAILABLE")</f>
        <v>NO DATA AVAILABLE</v>
      </c>
    </row>
    <row r="15" spans="1:21" s="2" customFormat="1" ht="70.25" customHeight="1" x14ac:dyDescent="0.45">
      <c r="A15" s="36" t="s">
        <v>14</v>
      </c>
      <c r="B15" s="47" t="str">
        <f>IFERROR(INDEX(CDB!$A$1:$ZB$18,MATCH($A15,CDB!$A:$A,0),MATCH(Tabela1[[#Headers],[F2U_1p0T3MHEV_MY27_SA]],CDB!$1:$1,0)),"NO DATA AVAILABLE")</f>
        <v>NO DATA AVAILABLE</v>
      </c>
      <c r="C15" s="47" t="str">
        <f>IFERROR(INDEX(CDB!$A$1:$ZB$18,MATCH($A15,CDB!$A:$A,0),MATCH(Tabela1[[#Headers],[CC24_1p0T3_MY25_SA]],CDB!$1:$1,0)),"NO DATA AVAILABLE")</f>
        <v>NO DATA AVAILABLE</v>
      </c>
      <c r="D15" s="47" t="str">
        <f>IFERROR(INDEX(CDB!$A$1:$ZB$18,MATCH($A15,CDB!$A:$A,0),MATCH(Tabela1[[#Headers],[Coluna3]],CDB!$1:$1,0)),"NO DATA AVAILABLE")</f>
        <v>NO DATA AVAILABLE</v>
      </c>
      <c r="E15" s="47" t="str">
        <f>IFERROR(INDEX(CDB!$A$1:$ZB$18,MATCH($A15,CDB!$A:$A,0),MATCH(Tabela1[[#Headers],[Coluna4]],CDB!$1:$1,0)),"NO DATA AVAILABLE")</f>
        <v>NO DATA AVAILABLE</v>
      </c>
      <c r="F15" s="47" t="str">
        <f>IFERROR(INDEX(CDB!$A$1:$ZB$18,MATCH($A15,CDB!$A:$A,0),MATCH(Tabela1[[#Headers],[Coluna5]],CDB!$1:$1,0)),"NO DATA AVAILABLE")</f>
        <v>NO DATA AVAILABLE</v>
      </c>
      <c r="G15" s="47" t="str">
        <f>IFERROR(INDEX(CDB!$A$1:$ZB$18,MATCH($A15,CDB!$A:$A,0),MATCH(Tabela1[[#Headers],[Coluna6]],CDB!$1:$1,0)),"NO DATA AVAILABLE")</f>
        <v>NO DATA AVAILABLE</v>
      </c>
      <c r="H15" s="47" t="str">
        <f>IFERROR(INDEX(CDB!$A$1:$ZB$18,MATCH($A15,CDB!$A:$A,0),MATCH(Tabela1[[#Headers],[Coluna7]],CDB!$1:$1,0)),"NO DATA AVAILABLE")</f>
        <v>NO DATA AVAILABLE</v>
      </c>
      <c r="I15" s="47" t="str">
        <f>IFERROR(INDEX(CDB!$A$1:$ZB$18,MATCH($A15,CDB!$A:$A,0),MATCH(Tabela1[[#Headers],[Coluna8]],CDB!$1:$1,0)),"NO DATA AVAILABLE")</f>
        <v>NO DATA AVAILABLE</v>
      </c>
      <c r="J15" s="47" t="str">
        <f>IFERROR(INDEX(CDB!$A$1:$ZB$18,MATCH($A15,CDB!$A:$A,0),MATCH(Tabela1[[#Headers],[Coluna9]],CDB!$1:$1,0)),"NO DATA AVAILABLE")</f>
        <v>NO DATA AVAILABLE</v>
      </c>
      <c r="K15" s="47" t="str">
        <f>IFERROR(INDEX(CDB!$A$1:$ZB$18,MATCH($A15,CDB!$A:$A,0),MATCH(Tabela1[[#Headers],[Coluna10]],CDB!$1:$1,0)),"NO DATA AVAILABLE")</f>
        <v>NO DATA AVAILABLE</v>
      </c>
      <c r="L15" s="47" t="str">
        <f>IFERROR(INDEX(CDB!$A$1:$ZB$18,MATCH($A15,CDB!$A:$A,0),MATCH(Tabela1[[#Headers],[Coluna11]],CDB!$1:$1,0)),"NO DATA AVAILABLE")</f>
        <v>NO DATA AVAILABLE</v>
      </c>
      <c r="M15" s="47" t="str">
        <f>IFERROR(INDEX(CDB!$A$1:$ZB$18,MATCH($A15,CDB!$A:$A,0),MATCH(Tabela1[[#Headers],[Coluna12]],CDB!$1:$1,0)),"NO DATA AVAILABLE")</f>
        <v>NO DATA AVAILABLE</v>
      </c>
      <c r="N15" s="47" t="str">
        <f>IFERROR(INDEX(CDB!$A$1:$ZB$18,MATCH($A15,CDB!$A:$A,0),MATCH(Tabela1[[#Headers],[Coluna13]],CDB!$1:$1,0)),"NO DATA AVAILABLE")</f>
        <v>NO DATA AVAILABLE</v>
      </c>
      <c r="O15" s="47" t="str">
        <f>IFERROR(INDEX(CDB!$A$1:$ZB$18,MATCH($A15,CDB!$A:$A,0),MATCH(Tabela1[[#Headers],[Coluna14]],CDB!$1:$1,0)),"NO DATA AVAILABLE")</f>
        <v>NO DATA AVAILABLE</v>
      </c>
      <c r="P15" s="47" t="str">
        <f>IFERROR(INDEX(CDB!$A$1:$ZB$18,MATCH($A15,CDB!$A:$A,0),MATCH(Tabela1[[#Headers],[Coluna15]],CDB!$1:$1,0)),"NO DATA AVAILABLE")</f>
        <v>NO DATA AVAILABLE</v>
      </c>
      <c r="Q15" s="47" t="str">
        <f>IFERROR(INDEX(CDB!$A$1:$ZB$18,MATCH($A15,CDB!$A:$A,0),MATCH(Tabela1[[#Headers],[Coluna16]],CDB!$1:$1,0)),"NO DATA AVAILABLE")</f>
        <v>NO DATA AVAILABLE</v>
      </c>
      <c r="R15" s="47" t="str">
        <f>IFERROR(INDEX(CDB!$A$1:$ZB$18,MATCH($A15,CDB!$A:$A,0),MATCH(Tabela1[[#Headers],[Coluna17]],CDB!$1:$1,0)),"NO DATA AVAILABLE")</f>
        <v>NO DATA AVAILABLE</v>
      </c>
      <c r="S15" s="47" t="str">
        <f>IFERROR(INDEX(CDB!$A$1:$ZB$18,MATCH($A15,CDB!$A:$A,0),MATCH(Tabela1[[#Headers],[Coluna18]],CDB!$1:$1,0)),"NO DATA AVAILABLE")</f>
        <v>NO DATA AVAILABLE</v>
      </c>
      <c r="T15" s="47" t="str">
        <f>IFERROR(INDEX(CDB!$A$1:$ZB$18,MATCH($A15,CDB!$A:$A,0),MATCH(Tabela1[[#Headers],[Coluna19]],CDB!$1:$1,0)),"NO DATA AVAILABLE")</f>
        <v>NO DATA AVAILABLE</v>
      </c>
      <c r="U15" s="47" t="str">
        <f>IFERROR(INDEX(CDB!$A$1:$ZB$18,MATCH($A15,CDB!$A:$A,0),MATCH(Tabela1[[#Headers],[Coluna20]],CDB!$1:$1,0)),"NO DATA AVAILABLE")</f>
        <v>NO DATA AVAILABLE</v>
      </c>
    </row>
    <row r="16" spans="1:21" s="2" customFormat="1" ht="70.25" customHeight="1" x14ac:dyDescent="0.45">
      <c r="A16" s="36" t="s">
        <v>376</v>
      </c>
      <c r="B16" s="47" t="str">
        <f>IFERROR(INDEX(CDB!$A$1:$ZB$18,MATCH($A16,CDB!$A:$A,0),MATCH(Tabela1[[#Headers],[F2U_1p0T3MHEV_MY27_SA]],CDB!$1:$1,0)),"NO DATA AVAILABLE")</f>
        <v>NO DATA AVAILABLE</v>
      </c>
      <c r="C16" s="47" t="str">
        <f>IFERROR(INDEX(CDB!$A$1:$ZB$18,MATCH($A16,CDB!$A:$A,0),MATCH(Tabela1[[#Headers],[CC24_1p0T3_MY25_SA]],CDB!$1:$1,0)),"NO DATA AVAILABLE")</f>
        <v>NO DATA AVAILABLE</v>
      </c>
      <c r="D16" s="47" t="str">
        <f>IFERROR(INDEX(CDB!$A$1:$ZB$18,MATCH($A16,CDB!$A:$A,0),MATCH(Tabela1[[#Headers],[Coluna3]],CDB!$1:$1,0)),"NO DATA AVAILABLE")</f>
        <v>NO DATA AVAILABLE</v>
      </c>
      <c r="E16" s="47" t="str">
        <f>IFERROR(INDEX(CDB!$A$1:$ZB$18,MATCH($A16,CDB!$A:$A,0),MATCH(Tabela1[[#Headers],[Coluna4]],CDB!$1:$1,0)),"NO DATA AVAILABLE")</f>
        <v>NO DATA AVAILABLE</v>
      </c>
      <c r="F16" s="47" t="str">
        <f>IFERROR(INDEX(CDB!$A$1:$ZB$18,MATCH($A16,CDB!$A:$A,0),MATCH(Tabela1[[#Headers],[Coluna5]],CDB!$1:$1,0)),"NO DATA AVAILABLE")</f>
        <v>NO DATA AVAILABLE</v>
      </c>
      <c r="G16" s="47" t="str">
        <f>IFERROR(INDEX(CDB!$A$1:$ZB$18,MATCH($A16,CDB!$A:$A,0),MATCH(Tabela1[[#Headers],[Coluna6]],CDB!$1:$1,0)),"NO DATA AVAILABLE")</f>
        <v>NO DATA AVAILABLE</v>
      </c>
      <c r="H16" s="47" t="str">
        <f>IFERROR(INDEX(CDB!$A$1:$ZB$18,MATCH($A16,CDB!$A:$A,0),MATCH(Tabela1[[#Headers],[Coluna7]],CDB!$1:$1,0)),"NO DATA AVAILABLE")</f>
        <v>NO DATA AVAILABLE</v>
      </c>
      <c r="I16" s="47" t="str">
        <f>IFERROR(INDEX(CDB!$A$1:$ZB$18,MATCH($A16,CDB!$A:$A,0),MATCH(Tabela1[[#Headers],[Coluna8]],CDB!$1:$1,0)),"NO DATA AVAILABLE")</f>
        <v>NO DATA AVAILABLE</v>
      </c>
      <c r="J16" s="47" t="str">
        <f>IFERROR(INDEX(CDB!$A$1:$ZB$18,MATCH($A16,CDB!$A:$A,0),MATCH(Tabela1[[#Headers],[Coluna9]],CDB!$1:$1,0)),"NO DATA AVAILABLE")</f>
        <v>NO DATA AVAILABLE</v>
      </c>
      <c r="K16" s="47" t="str">
        <f>IFERROR(INDEX(CDB!$A$1:$ZB$18,MATCH($A16,CDB!$A:$A,0),MATCH(Tabela1[[#Headers],[Coluna10]],CDB!$1:$1,0)),"NO DATA AVAILABLE")</f>
        <v>NO DATA AVAILABLE</v>
      </c>
      <c r="L16" s="47" t="str">
        <f>IFERROR(INDEX(CDB!$A$1:$ZB$18,MATCH($A16,CDB!$A:$A,0),MATCH(Tabela1[[#Headers],[Coluna11]],CDB!$1:$1,0)),"NO DATA AVAILABLE")</f>
        <v>NO DATA AVAILABLE</v>
      </c>
      <c r="M16" s="47" t="str">
        <f>IFERROR(INDEX(CDB!$A$1:$ZB$18,MATCH($A16,CDB!$A:$A,0),MATCH(Tabela1[[#Headers],[Coluna12]],CDB!$1:$1,0)),"NO DATA AVAILABLE")</f>
        <v>NO DATA AVAILABLE</v>
      </c>
      <c r="N16" s="47" t="str">
        <f>IFERROR(INDEX(CDB!$A$1:$ZB$18,MATCH($A16,CDB!$A:$A,0),MATCH(Tabela1[[#Headers],[Coluna13]],CDB!$1:$1,0)),"NO DATA AVAILABLE")</f>
        <v>NO DATA AVAILABLE</v>
      </c>
      <c r="O16" s="47" t="str">
        <f>IFERROR(INDEX(CDB!$A$1:$ZB$18,MATCH($A16,CDB!$A:$A,0),MATCH(Tabela1[[#Headers],[Coluna14]],CDB!$1:$1,0)),"NO DATA AVAILABLE")</f>
        <v>NO DATA AVAILABLE</v>
      </c>
      <c r="P16" s="47" t="str">
        <f>IFERROR(INDEX(CDB!$A$1:$ZB$18,MATCH($A16,CDB!$A:$A,0),MATCH(Tabela1[[#Headers],[Coluna15]],CDB!$1:$1,0)),"NO DATA AVAILABLE")</f>
        <v>NO DATA AVAILABLE</v>
      </c>
      <c r="Q16" s="47" t="str">
        <f>IFERROR(INDEX(CDB!$A$1:$ZB$18,MATCH($A16,CDB!$A:$A,0),MATCH(Tabela1[[#Headers],[Coluna16]],CDB!$1:$1,0)),"NO DATA AVAILABLE")</f>
        <v>NO DATA AVAILABLE</v>
      </c>
      <c r="R16" s="47" t="str">
        <f>IFERROR(INDEX(CDB!$A$1:$ZB$18,MATCH($A16,CDB!$A:$A,0),MATCH(Tabela1[[#Headers],[Coluna17]],CDB!$1:$1,0)),"NO DATA AVAILABLE")</f>
        <v>NO DATA AVAILABLE</v>
      </c>
      <c r="S16" s="47" t="str">
        <f>IFERROR(INDEX(CDB!$A$1:$ZB$18,MATCH($A16,CDB!$A:$A,0),MATCH(Tabela1[[#Headers],[Coluna18]],CDB!$1:$1,0)),"NO DATA AVAILABLE")</f>
        <v>NO DATA AVAILABLE</v>
      </c>
      <c r="T16" s="47" t="str">
        <f>IFERROR(INDEX(CDB!$A$1:$ZB$18,MATCH($A16,CDB!$A:$A,0),MATCH(Tabela1[[#Headers],[Coluna19]],CDB!$1:$1,0)),"NO DATA AVAILABLE")</f>
        <v>NO DATA AVAILABLE</v>
      </c>
      <c r="U16" s="47" t="str">
        <f>IFERROR(INDEX(CDB!$A$1:$ZB$18,MATCH($A16,CDB!$A:$A,0),MATCH(Tabela1[[#Headers],[Coluna20]],CDB!$1:$1,0)),"NO DATA AVAILABLE")</f>
        <v>NO DATA AVAILABLE</v>
      </c>
    </row>
  </sheetData>
  <phoneticPr fontId="11" type="noConversion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EDF31-93D6-43BF-BDFC-1A355FD2E0AC}">
          <x14:formula1>
            <xm:f>Listas!$A$3:$A$968</xm:f>
          </x14:formula1>
          <xm:sqref>B1:U1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6675-4F63-4AAE-B4FA-48BD98F77A70}">
  <sheetPr codeName="Folha2">
    <tabColor rgb="FF92D050"/>
  </sheetPr>
  <dimension ref="A1:T148"/>
  <sheetViews>
    <sheetView showGridLines="0" zoomScale="61" zoomScaleNormal="60" workbookViewId="0">
      <selection activeCell="P65" sqref="P65"/>
    </sheetView>
  </sheetViews>
  <sheetFormatPr defaultRowHeight="14.25" x14ac:dyDescent="0.45"/>
  <cols>
    <col min="1" max="1" width="20.46484375" bestFit="1" customWidth="1"/>
    <col min="2" max="2" width="43.53125" bestFit="1" customWidth="1"/>
    <col min="3" max="3" width="5.1328125" customWidth="1"/>
    <col min="4" max="4" width="44.33203125" customWidth="1"/>
    <col min="5" max="5" width="13.46484375" bestFit="1" customWidth="1"/>
    <col min="6" max="6" width="12.1328125" bestFit="1" customWidth="1"/>
    <col min="7" max="7" width="12" bestFit="1" customWidth="1"/>
    <col min="8" max="8" width="12.46484375" bestFit="1" customWidth="1"/>
    <col min="9" max="9" width="13.33203125" bestFit="1" customWidth="1"/>
    <col min="10" max="10" width="12.33203125" bestFit="1" customWidth="1"/>
    <col min="11" max="14" width="13.53125" bestFit="1" customWidth="1"/>
    <col min="15" max="15" width="13.53125" customWidth="1"/>
    <col min="17" max="17" width="38.46484375" customWidth="1"/>
    <col min="18" max="18" width="15" customWidth="1"/>
    <col min="19" max="19" width="15.1328125" customWidth="1"/>
    <col min="20" max="20" width="14.53125" customWidth="1"/>
  </cols>
  <sheetData>
    <row r="1" spans="1:20" s="2" customFormat="1" ht="32" customHeight="1" thickBot="1" x14ac:dyDescent="0.5">
      <c r="D1" s="10" t="s">
        <v>15</v>
      </c>
      <c r="E1" s="7" t="s">
        <v>16</v>
      </c>
      <c r="F1" s="7" t="s">
        <v>17</v>
      </c>
      <c r="G1" s="7" t="s">
        <v>18</v>
      </c>
      <c r="H1" s="7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4" t="s">
        <v>24</v>
      </c>
      <c r="N1" s="4" t="s">
        <v>25</v>
      </c>
      <c r="O1" s="4" t="s">
        <v>26</v>
      </c>
      <c r="Q1" s="15" t="s">
        <v>27</v>
      </c>
      <c r="R1" s="16" t="s">
        <v>28</v>
      </c>
      <c r="S1" s="17" t="s">
        <v>29</v>
      </c>
      <c r="T1" s="18" t="s">
        <v>30</v>
      </c>
    </row>
    <row r="2" spans="1:20" s="2" customFormat="1" ht="25.25" customHeight="1" x14ac:dyDescent="0.45">
      <c r="A2" s="5" t="s">
        <v>31</v>
      </c>
      <c r="B2" s="110" t="s">
        <v>482</v>
      </c>
      <c r="D2" s="8" t="s">
        <v>32</v>
      </c>
      <c r="E2" s="39"/>
      <c r="F2" s="86"/>
      <c r="G2" s="86"/>
      <c r="H2" s="86"/>
      <c r="I2" s="39"/>
      <c r="J2" s="86"/>
      <c r="K2" s="86"/>
      <c r="L2" s="86"/>
      <c r="M2" s="39">
        <f>IFERROR(Tabela13[[#This Row],[X2]]-Tabela13[[#This Row],[X1]],"Missing Data")</f>
        <v>0</v>
      </c>
      <c r="N2" s="39">
        <f>IFERROR(Tabela13[[#This Row],[Y2]]-Tabela13[[#This Row],[Y1]],"Missing Data")</f>
        <v>0</v>
      </c>
      <c r="O2" s="39">
        <f>IFERROR(Tabela13[[#This Row],[Z2]]-Tabela13[[#This Row],[Z1]],"Missing Data")</f>
        <v>0</v>
      </c>
      <c r="Q2" s="14" t="s">
        <v>33</v>
      </c>
      <c r="R2" s="87"/>
      <c r="S2" s="87"/>
      <c r="T2" s="87">
        <f>IFERROR(Tabela14[[#This Row],[Program 2]]-Tabela14[[#This Row],[Program 1]],"Missing Data")</f>
        <v>0</v>
      </c>
    </row>
    <row r="3" spans="1:20" s="2" customFormat="1" ht="25.25" customHeight="1" x14ac:dyDescent="0.45">
      <c r="A3" s="6" t="s">
        <v>34</v>
      </c>
      <c r="B3" s="111" t="s">
        <v>483</v>
      </c>
      <c r="D3" s="8" t="s">
        <v>35</v>
      </c>
      <c r="E3" s="39"/>
      <c r="F3" s="86"/>
      <c r="G3" s="86"/>
      <c r="H3" s="86"/>
      <c r="I3" s="39"/>
      <c r="J3" s="86"/>
      <c r="K3" s="86"/>
      <c r="L3" s="86"/>
      <c r="M3" s="39">
        <f>IFERROR(Tabela13[[#This Row],[X2]]-Tabela13[[#This Row],[X1]],"Missing Data")</f>
        <v>0</v>
      </c>
      <c r="N3" s="39">
        <f>IFERROR(Tabela13[[#This Row],[Y2]]-Tabela13[[#This Row],[Y1]],"Missing Data")</f>
        <v>0</v>
      </c>
      <c r="O3" s="39">
        <f>IFERROR(Tabela13[[#This Row],[Z2]]-Tabela13[[#This Row],[Z1]],"Missing Data")</f>
        <v>0</v>
      </c>
      <c r="Q3" s="14" t="s">
        <v>36</v>
      </c>
      <c r="R3" s="88"/>
      <c r="S3" s="88"/>
      <c r="T3" s="88">
        <f>IFERROR(Tabela14[[#This Row],[Program 2]]-Tabela14[[#This Row],[Program 1]],"Missing Data")</f>
        <v>0</v>
      </c>
    </row>
    <row r="4" spans="1:20" s="2" customFormat="1" ht="25.25" customHeight="1" x14ac:dyDescent="0.45">
      <c r="D4" s="8" t="s">
        <v>52</v>
      </c>
      <c r="E4" s="39"/>
      <c r="F4" s="86"/>
      <c r="G4" s="86"/>
      <c r="H4" s="86"/>
      <c r="I4" s="39"/>
      <c r="J4" s="86"/>
      <c r="K4" s="86"/>
      <c r="L4" s="86"/>
      <c r="M4" s="39">
        <f>IFERROR(Tabela13[[#This Row],[X2]]-Tabela13[[#This Row],[X1]],"Missing Data")</f>
        <v>0</v>
      </c>
      <c r="N4" s="39">
        <f>IFERROR(Tabela13[[#This Row],[Y2]]-Tabela13[[#This Row],[Y1]],"Missing Data")</f>
        <v>0</v>
      </c>
      <c r="O4" s="39">
        <f>IFERROR(Tabela13[[#This Row],[Z2]]-Tabela13[[#This Row],[Z1]],"Missing Data")</f>
        <v>0</v>
      </c>
      <c r="Q4" s="14" t="s">
        <v>38</v>
      </c>
      <c r="R4" s="88"/>
      <c r="S4" s="88"/>
      <c r="T4" s="88">
        <f>IFERROR(Tabela14[[#This Row],[Program 2]]-Tabela14[[#This Row],[Program 1]],"Missing Data")</f>
        <v>0</v>
      </c>
    </row>
    <row r="5" spans="1:20" s="2" customFormat="1" ht="25.25" customHeight="1" x14ac:dyDescent="0.45">
      <c r="D5" s="8" t="s">
        <v>37</v>
      </c>
      <c r="E5" s="39"/>
      <c r="F5" s="86"/>
      <c r="G5" s="86"/>
      <c r="H5" s="86"/>
      <c r="I5" s="39"/>
      <c r="J5" s="86"/>
      <c r="K5" s="86"/>
      <c r="L5" s="86"/>
      <c r="M5" s="39">
        <f>IFERROR(Tabela13[[#This Row],[X2]]-Tabela13[[#This Row],[X1]],"Missing Data")</f>
        <v>0</v>
      </c>
      <c r="N5" s="39">
        <f>IFERROR(Tabela13[[#This Row],[Y2]]-Tabela13[[#This Row],[Y1]],"Missing Data")</f>
        <v>0</v>
      </c>
      <c r="O5" s="39">
        <f>IFERROR(Tabela13[[#This Row],[Z2]]-Tabela13[[#This Row],[Z1]],"Missing Data")</f>
        <v>0</v>
      </c>
      <c r="Q5" s="14" t="s">
        <v>40</v>
      </c>
      <c r="R5" s="88"/>
      <c r="S5" s="88"/>
      <c r="T5" s="88">
        <f>IFERROR(Tabela14[[#This Row],[Program 2]]-Tabela14[[#This Row],[Program 1]],"Missing Data")</f>
        <v>0</v>
      </c>
    </row>
    <row r="6" spans="1:20" s="2" customFormat="1" ht="25.25" customHeight="1" x14ac:dyDescent="0.45">
      <c r="D6" s="8" t="s">
        <v>39</v>
      </c>
      <c r="E6" s="39"/>
      <c r="F6" s="86"/>
      <c r="G6" s="86"/>
      <c r="H6" s="86"/>
      <c r="I6" s="39"/>
      <c r="J6" s="86"/>
      <c r="K6" s="86"/>
      <c r="L6" s="86"/>
      <c r="M6" s="39">
        <f>IFERROR(Tabela13[[#This Row],[X2]]-Tabela13[[#This Row],[X1]],"Missing Data")</f>
        <v>0</v>
      </c>
      <c r="N6" s="39">
        <f>IFERROR(Tabela13[[#This Row],[Y2]]-Tabela13[[#This Row],[Y1]],"Missing Data")</f>
        <v>0</v>
      </c>
      <c r="O6" s="39">
        <f>IFERROR(Tabela13[[#This Row],[Z2]]-Tabela13[[#This Row],[Z1]],"Missing Data")</f>
        <v>0</v>
      </c>
      <c r="Q6" s="14" t="s">
        <v>42</v>
      </c>
      <c r="R6" s="88"/>
      <c r="S6" s="88"/>
      <c r="T6" s="88">
        <f>IFERROR(Tabela14[[#This Row],[Program 2]]-Tabela14[[#This Row],[Program 1]],"Missing Data")</f>
        <v>0</v>
      </c>
    </row>
    <row r="7" spans="1:20" s="2" customFormat="1" ht="25.25" customHeight="1" x14ac:dyDescent="0.45">
      <c r="D7" s="8" t="s">
        <v>41</v>
      </c>
      <c r="E7" s="39"/>
      <c r="F7" s="86"/>
      <c r="G7" s="86"/>
      <c r="H7" s="86"/>
      <c r="I7" s="39"/>
      <c r="J7" s="86"/>
      <c r="K7" s="86"/>
      <c r="L7" s="86"/>
      <c r="M7" s="39">
        <f>IFERROR(Tabela13[[#This Row],[X2]]-Tabela13[[#This Row],[X1]],"Missing Data")</f>
        <v>0</v>
      </c>
      <c r="N7" s="39">
        <f>IFERROR(Tabela13[[#This Row],[Y2]]-Tabela13[[#This Row],[Y1]],"Missing Data")</f>
        <v>0</v>
      </c>
      <c r="O7" s="39">
        <f>IFERROR(Tabela13[[#This Row],[Z2]]-Tabela13[[#This Row],[Z1]],"Missing Data")</f>
        <v>0</v>
      </c>
      <c r="Q7" s="19" t="s">
        <v>44</v>
      </c>
      <c r="R7" s="88"/>
      <c r="S7" s="88"/>
      <c r="T7" s="88">
        <f>IFERROR(Tabela14[[#This Row],[Program 2]]-Tabela14[[#This Row],[Program 1]],"Missing Data")</f>
        <v>0</v>
      </c>
    </row>
    <row r="8" spans="1:20" s="2" customFormat="1" ht="25.25" customHeight="1" x14ac:dyDescent="0.45">
      <c r="D8" s="8" t="s">
        <v>43</v>
      </c>
      <c r="E8" s="39"/>
      <c r="F8" s="86"/>
      <c r="G8" s="86"/>
      <c r="H8" s="86"/>
      <c r="I8" s="39"/>
      <c r="J8" s="86"/>
      <c r="K8" s="86"/>
      <c r="L8" s="86"/>
      <c r="M8" s="39">
        <f>IFERROR(Tabela13[[#This Row],[X2]]-Tabela13[[#This Row],[X1]],"Missing Data")</f>
        <v>0</v>
      </c>
      <c r="N8" s="39">
        <f>IFERROR(Tabela13[[#This Row],[Y2]]-Tabela13[[#This Row],[Y1]],"Missing Data")</f>
        <v>0</v>
      </c>
      <c r="O8" s="39">
        <f>IFERROR(Tabela13[[#This Row],[Z2]]-Tabela13[[#This Row],[Z1]],"Missing Data")</f>
        <v>0</v>
      </c>
    </row>
    <row r="9" spans="1:20" s="2" customFormat="1" ht="25.25" customHeight="1" x14ac:dyDescent="0.45">
      <c r="D9" s="8" t="s">
        <v>45</v>
      </c>
      <c r="E9" s="39"/>
      <c r="F9" s="86"/>
      <c r="G9" s="86"/>
      <c r="H9" s="86"/>
      <c r="I9" s="39"/>
      <c r="J9" s="86"/>
      <c r="K9" s="86"/>
      <c r="L9" s="86"/>
      <c r="M9" s="39">
        <f>IFERROR(Tabela13[[#This Row],[X2]]-Tabela13[[#This Row],[X1]],"Missing Data")</f>
        <v>0</v>
      </c>
      <c r="N9" s="39">
        <f>IFERROR(Tabela13[[#This Row],[Y2]]-Tabela13[[#This Row],[Y1]],"Missing Data")</f>
        <v>0</v>
      </c>
      <c r="O9" s="39">
        <f>IFERROR(Tabela13[[#This Row],[Z2]]-Tabela13[[#This Row],[Z1]],"Missing Data")</f>
        <v>0</v>
      </c>
    </row>
    <row r="10" spans="1:20" s="2" customFormat="1" ht="25.25" customHeight="1" x14ac:dyDescent="0.45">
      <c r="D10" s="8" t="s">
        <v>46</v>
      </c>
      <c r="E10" s="39"/>
      <c r="F10" s="86"/>
      <c r="G10" s="86"/>
      <c r="H10" s="86"/>
      <c r="I10" s="39"/>
      <c r="J10" s="86"/>
      <c r="K10" s="86"/>
      <c r="L10" s="86"/>
      <c r="M10" s="39">
        <f>IFERROR(Tabela13[[#This Row],[X2]]-Tabela13[[#This Row],[X1]],"Missing Data")</f>
        <v>0</v>
      </c>
      <c r="N10" s="39">
        <f>IFERROR(Tabela13[[#This Row],[Y2]]-Tabela13[[#This Row],[Y1]],"Missing Data")</f>
        <v>0</v>
      </c>
      <c r="O10" s="39">
        <f>IFERROR(Tabela13[[#This Row],[Z2]]-Tabela13[[#This Row],[Z1]],"Missing Data")</f>
        <v>0</v>
      </c>
    </row>
    <row r="11" spans="1:20" s="2" customFormat="1" ht="25.25" customHeight="1" x14ac:dyDescent="0.45">
      <c r="D11" s="8" t="s">
        <v>47</v>
      </c>
      <c r="E11" s="39"/>
      <c r="F11" s="86"/>
      <c r="G11" s="86"/>
      <c r="H11" s="86"/>
      <c r="I11" s="39"/>
      <c r="J11" s="86"/>
      <c r="K11" s="86"/>
      <c r="L11" s="86"/>
      <c r="M11" s="39">
        <f>IFERROR(Tabela13[[#This Row],[X2]]-Tabela13[[#This Row],[X1]],"Missing Data")</f>
        <v>0</v>
      </c>
      <c r="N11" s="39">
        <f>IFERROR(Tabela13[[#This Row],[Y2]]-Tabela13[[#This Row],[Y1]],"Missing Data")</f>
        <v>0</v>
      </c>
      <c r="O11" s="39">
        <f>IFERROR(Tabela13[[#This Row],[Z2]]-Tabela13[[#This Row],[Z1]],"Missing Data")</f>
        <v>0</v>
      </c>
    </row>
    <row r="12" spans="1:20" s="2" customFormat="1" ht="25.25" customHeight="1" x14ac:dyDescent="0.45">
      <c r="D12" s="8" t="s">
        <v>214</v>
      </c>
      <c r="E12" s="39"/>
      <c r="F12" s="86"/>
      <c r="G12" s="86"/>
      <c r="H12" s="86"/>
      <c r="I12" s="39"/>
      <c r="J12" s="86"/>
      <c r="K12" s="86"/>
      <c r="L12" s="86"/>
      <c r="M12" s="39">
        <f>IFERROR(Tabela13[[#This Row],[X2]]-Tabela13[[#This Row],[X1]],"Missing Data")</f>
        <v>0</v>
      </c>
      <c r="N12" s="39">
        <f>IFERROR(Tabela13[[#This Row],[Y2]]-Tabela13[[#This Row],[Y1]],"Missing Data")</f>
        <v>0</v>
      </c>
      <c r="O12" s="39">
        <f>IFERROR(Tabela13[[#This Row],[Z2]]-Tabela13[[#This Row],[Z1]],"Missing Data")</f>
        <v>0</v>
      </c>
    </row>
    <row r="13" spans="1:20" s="2" customFormat="1" ht="25.25" customHeight="1" x14ac:dyDescent="0.45">
      <c r="D13" s="8" t="s">
        <v>48</v>
      </c>
      <c r="E13" s="39"/>
      <c r="F13" s="86"/>
      <c r="G13" s="86"/>
      <c r="H13" s="86"/>
      <c r="I13" s="39"/>
      <c r="J13" s="86"/>
      <c r="K13" s="86"/>
      <c r="L13" s="86"/>
      <c r="M13" s="39">
        <f>IFERROR(Tabela13[[#This Row],[X2]]-Tabela13[[#This Row],[X1]],"Missing Data")</f>
        <v>0</v>
      </c>
      <c r="N13" s="39">
        <f>IFERROR(Tabela13[[#This Row],[Y2]]-Tabela13[[#This Row],[Y1]],"Missing Data")</f>
        <v>0</v>
      </c>
      <c r="O13" s="39">
        <f>IFERROR(Tabela13[[#This Row],[Z2]]-Tabela13[[#This Row],[Z1]],"Missing Data")</f>
        <v>0</v>
      </c>
    </row>
    <row r="14" spans="1:20" s="2" customFormat="1" ht="25.25" customHeight="1" x14ac:dyDescent="0.45">
      <c r="D14" s="8" t="s">
        <v>49</v>
      </c>
      <c r="E14" s="39"/>
      <c r="F14" s="86"/>
      <c r="G14" s="86"/>
      <c r="H14" s="86"/>
      <c r="I14" s="39"/>
      <c r="J14" s="86"/>
      <c r="K14" s="86"/>
      <c r="L14" s="86"/>
      <c r="M14" s="39">
        <f>IFERROR(Tabela13[[#This Row],[X2]]-Tabela13[[#This Row],[X1]],"Missing Data")</f>
        <v>0</v>
      </c>
      <c r="N14" s="39">
        <f>IFERROR(Tabela13[[#This Row],[Y2]]-Tabela13[[#This Row],[Y1]],"Missing Data")</f>
        <v>0</v>
      </c>
      <c r="O14" s="39">
        <f>IFERROR(Tabela13[[#This Row],[Z2]]-Tabela13[[#This Row],[Z1]],"Missing Data")</f>
        <v>0</v>
      </c>
    </row>
    <row r="15" spans="1:20" s="2" customFormat="1" ht="25.25" customHeight="1" x14ac:dyDescent="0.45">
      <c r="D15" s="8" t="s">
        <v>215</v>
      </c>
      <c r="E15" s="39"/>
      <c r="F15" s="86"/>
      <c r="G15" s="86"/>
      <c r="H15" s="86"/>
      <c r="I15" s="39"/>
      <c r="J15" s="86"/>
      <c r="K15" s="86"/>
      <c r="L15" s="86"/>
      <c r="M15" s="39">
        <f>IFERROR(Tabela13[[#This Row],[X2]]-Tabela13[[#This Row],[X1]],"Missing Data")</f>
        <v>0</v>
      </c>
      <c r="N15" s="39">
        <f>IFERROR(Tabela13[[#This Row],[Y2]]-Tabela13[[#This Row],[Y1]],"Missing Data")</f>
        <v>0</v>
      </c>
      <c r="O15" s="39">
        <f>IFERROR(Tabela13[[#This Row],[Z2]]-Tabela13[[#This Row],[Z1]],"Missing Data")</f>
        <v>0</v>
      </c>
    </row>
    <row r="16" spans="1:20" s="2" customFormat="1" ht="25.25" customHeight="1" x14ac:dyDescent="0.45">
      <c r="D16" s="8" t="s">
        <v>216</v>
      </c>
      <c r="E16" s="39"/>
      <c r="F16" s="86"/>
      <c r="G16" s="86"/>
      <c r="H16" s="86"/>
      <c r="I16" s="39"/>
      <c r="J16" s="86"/>
      <c r="K16" s="86"/>
      <c r="L16" s="86"/>
      <c r="M16" s="39">
        <f>IFERROR(Tabela13[[#This Row],[X2]]-Tabela13[[#This Row],[X1]],"Missing Data")</f>
        <v>0</v>
      </c>
      <c r="N16" s="39">
        <f>IFERROR(Tabela13[[#This Row],[Y2]]-Tabela13[[#This Row],[Y1]],"Missing Data")</f>
        <v>0</v>
      </c>
      <c r="O16" s="39">
        <f>IFERROR(Tabela13[[#This Row],[Z2]]-Tabela13[[#This Row],[Z1]],"Missing Data")</f>
        <v>0</v>
      </c>
    </row>
    <row r="17" spans="4:20" s="2" customFormat="1" ht="25.25" customHeight="1" x14ac:dyDescent="0.45">
      <c r="D17" s="8" t="s">
        <v>55</v>
      </c>
      <c r="E17" s="39"/>
      <c r="F17" s="86"/>
      <c r="G17" s="86"/>
      <c r="H17" s="86"/>
      <c r="I17" s="39"/>
      <c r="J17" s="86"/>
      <c r="K17" s="86"/>
      <c r="L17" s="86"/>
      <c r="M17" s="39">
        <f>IFERROR(Tabela13[[#This Row],[X2]]-Tabela13[[#This Row],[X1]],"Missing Data")</f>
        <v>0</v>
      </c>
      <c r="N17" s="39">
        <f>IFERROR(Tabela13[[#This Row],[Y2]]-Tabela13[[#This Row],[Y1]],"Missing Data")</f>
        <v>0</v>
      </c>
      <c r="O17" s="39">
        <f>IFERROR(Tabela13[[#This Row],[Z2]]-Tabela13[[#This Row],[Z1]],"Missing Data")</f>
        <v>0</v>
      </c>
    </row>
    <row r="18" spans="4:20" s="2" customFormat="1" ht="25.25" customHeight="1" x14ac:dyDescent="0.45">
      <c r="D18" s="8" t="s">
        <v>56</v>
      </c>
      <c r="E18" s="39"/>
      <c r="F18" s="86"/>
      <c r="G18" s="86"/>
      <c r="H18" s="86"/>
      <c r="I18" s="39"/>
      <c r="J18" s="86"/>
      <c r="K18" s="86"/>
      <c r="L18" s="86"/>
      <c r="M18" s="39">
        <f>IFERROR(Tabela13[[#This Row],[X2]]-Tabela13[[#This Row],[X1]],"Missing Data")</f>
        <v>0</v>
      </c>
      <c r="N18" s="39">
        <f>IFERROR(Tabela13[[#This Row],[Y2]]-Tabela13[[#This Row],[Y1]],"Missing Data")</f>
        <v>0</v>
      </c>
      <c r="O18" s="39">
        <f>IFERROR(Tabela13[[#This Row],[Z2]]-Tabela13[[#This Row],[Z1]],"Missing Data")</f>
        <v>0</v>
      </c>
    </row>
    <row r="19" spans="4:20" s="2" customFormat="1" ht="25.25" customHeight="1" x14ac:dyDescent="0.45">
      <c r="D19" s="8" t="s">
        <v>57</v>
      </c>
      <c r="E19" s="39"/>
      <c r="F19" s="86"/>
      <c r="G19" s="86"/>
      <c r="H19" s="86"/>
      <c r="I19" s="39"/>
      <c r="J19" s="86"/>
      <c r="K19" s="86"/>
      <c r="L19" s="86"/>
      <c r="M19" s="39">
        <f>IFERROR(Tabela13[[#This Row],[X2]]-Tabela13[[#This Row],[X1]],"Missing Data")</f>
        <v>0</v>
      </c>
      <c r="N19" s="39">
        <f>IFERROR(Tabela13[[#This Row],[Y2]]-Tabela13[[#This Row],[Y1]],"Missing Data")</f>
        <v>0</v>
      </c>
      <c r="O19" s="39">
        <f>IFERROR(Tabela13[[#This Row],[Z2]]-Tabela13[[#This Row],[Z1]],"Missing Data")</f>
        <v>0</v>
      </c>
    </row>
    <row r="21" spans="4:20" s="2" customFormat="1" ht="30.6" customHeight="1" thickBot="1" x14ac:dyDescent="0.5">
      <c r="D21" s="10" t="s">
        <v>50</v>
      </c>
      <c r="E21" s="7" t="s">
        <v>16</v>
      </c>
      <c r="F21" s="7" t="s">
        <v>17</v>
      </c>
      <c r="G21" s="7" t="s">
        <v>18</v>
      </c>
      <c r="H21" s="7" t="s">
        <v>19</v>
      </c>
      <c r="I21" s="3" t="s">
        <v>20</v>
      </c>
      <c r="J21" s="3" t="s">
        <v>21</v>
      </c>
      <c r="K21" s="3" t="s">
        <v>22</v>
      </c>
      <c r="L21" s="3" t="s">
        <v>23</v>
      </c>
      <c r="M21" s="4" t="s">
        <v>24</v>
      </c>
      <c r="N21" s="4" t="s">
        <v>25</v>
      </c>
      <c r="O21" s="4" t="s">
        <v>26</v>
      </c>
      <c r="P21"/>
      <c r="Q21" s="15" t="s">
        <v>51</v>
      </c>
      <c r="R21" s="16" t="s">
        <v>28</v>
      </c>
      <c r="S21" s="17" t="s">
        <v>29</v>
      </c>
      <c r="T21" s="18" t="s">
        <v>30</v>
      </c>
    </row>
    <row r="22" spans="4:20" s="2" customFormat="1" ht="25.25" customHeight="1" x14ac:dyDescent="0.45">
      <c r="D22" s="8" t="s">
        <v>217</v>
      </c>
      <c r="E22" s="39"/>
      <c r="F22" s="86"/>
      <c r="G22" s="86"/>
      <c r="H22" s="86"/>
      <c r="I22" s="39"/>
      <c r="J22" s="86"/>
      <c r="K22" s="86"/>
      <c r="L22" s="86"/>
      <c r="M22" s="39">
        <f>IFERROR(Tabela134[[#This Row],[X2]]-Tabela134[[#This Row],[X1]],"Missing Data")</f>
        <v>0</v>
      </c>
      <c r="N22" s="39">
        <f>IFERROR(Tabela134[[#This Row],[Y2]]-Tabela134[[#This Row],[Y1]],"Missing Data")</f>
        <v>0</v>
      </c>
      <c r="O22" s="39">
        <f>IFERROR(Tabela134[[#This Row],[Z2]]-Tabela134[[#This Row],[Z1]],"Missing Data")</f>
        <v>0</v>
      </c>
      <c r="P22" s="9"/>
      <c r="Q22" s="14" t="s">
        <v>33</v>
      </c>
      <c r="R22" s="87"/>
      <c r="S22" s="87"/>
      <c r="T22" s="87">
        <f>IFERROR(Tabela15[[#This Row],[Program 2]]-Tabela15[[#This Row],[Program 1]],"Missing Data")</f>
        <v>0</v>
      </c>
    </row>
    <row r="23" spans="4:20" s="2" customFormat="1" ht="25.25" customHeight="1" x14ac:dyDescent="0.45">
      <c r="D23" s="8" t="s">
        <v>32</v>
      </c>
      <c r="E23" s="39"/>
      <c r="F23" s="86"/>
      <c r="G23" s="86"/>
      <c r="H23" s="86"/>
      <c r="I23" s="39"/>
      <c r="J23" s="86"/>
      <c r="K23" s="86"/>
      <c r="L23" s="86"/>
      <c r="M23" s="39">
        <f>IFERROR(Tabela134[[#This Row],[X2]]-Tabela134[[#This Row],[X1]],"Missing Data")</f>
        <v>0</v>
      </c>
      <c r="N23" s="39">
        <f>IFERROR(Tabela134[[#This Row],[Y2]]-Tabela134[[#This Row],[Y1]],"Missing Data")</f>
        <v>0</v>
      </c>
      <c r="O23" s="39">
        <f>IFERROR(Tabela134[[#This Row],[Z2]]-Tabela134[[#This Row],[Z1]],"Missing Data")</f>
        <v>0</v>
      </c>
      <c r="P23" s="9"/>
      <c r="Q23" s="14" t="s">
        <v>36</v>
      </c>
      <c r="R23" s="88"/>
      <c r="S23" s="88"/>
      <c r="T23" s="88">
        <f>IFERROR(Tabela15[[#This Row],[Program 2]]-Tabela15[[#This Row],[Program 1]],"Missing Data")</f>
        <v>0</v>
      </c>
    </row>
    <row r="24" spans="4:20" s="2" customFormat="1" ht="25.25" customHeight="1" x14ac:dyDescent="0.45">
      <c r="D24" s="8" t="s">
        <v>52</v>
      </c>
      <c r="E24" s="39"/>
      <c r="F24" s="86"/>
      <c r="G24" s="86"/>
      <c r="H24" s="86"/>
      <c r="I24" s="39"/>
      <c r="J24" s="86"/>
      <c r="K24" s="86"/>
      <c r="L24" s="86"/>
      <c r="M24" s="39">
        <f>IFERROR(Tabela134[[#This Row],[X2]]-Tabela134[[#This Row],[X1]],"Missing Data")</f>
        <v>0</v>
      </c>
      <c r="N24" s="39">
        <f>IFERROR(Tabela134[[#This Row],[Y2]]-Tabela134[[#This Row],[Y1]],"Missing Data")</f>
        <v>0</v>
      </c>
      <c r="O24" s="39">
        <f>IFERROR(Tabela134[[#This Row],[Z2]]-Tabela134[[#This Row],[Z1]],"Missing Data")</f>
        <v>0</v>
      </c>
      <c r="P24" s="9"/>
      <c r="Q24" s="14" t="s">
        <v>38</v>
      </c>
      <c r="R24" s="88"/>
      <c r="S24" s="88"/>
      <c r="T24" s="88">
        <f>IFERROR(Tabela15[[#This Row],[Program 2]]-Tabela15[[#This Row],[Program 1]],"Missing Data")</f>
        <v>0</v>
      </c>
    </row>
    <row r="25" spans="4:20" s="2" customFormat="1" ht="24.75" customHeight="1" x14ac:dyDescent="0.45">
      <c r="D25" s="8" t="s">
        <v>39</v>
      </c>
      <c r="E25" s="39"/>
      <c r="F25" s="86"/>
      <c r="G25" s="86"/>
      <c r="H25" s="86"/>
      <c r="I25" s="39"/>
      <c r="J25" s="86"/>
      <c r="K25" s="86"/>
      <c r="L25" s="86"/>
      <c r="M25" s="39">
        <f>IFERROR(Tabela134[[#This Row],[X2]]-Tabela134[[#This Row],[X1]],"Missing Data")</f>
        <v>0</v>
      </c>
      <c r="N25" s="39">
        <f>IFERROR(Tabela134[[#This Row],[Y2]]-Tabela134[[#This Row],[Y1]],"Missing Data")</f>
        <v>0</v>
      </c>
      <c r="O25" s="39">
        <f>IFERROR(Tabela134[[#This Row],[Z2]]-Tabela134[[#This Row],[Z1]],"Missing Data")</f>
        <v>0</v>
      </c>
      <c r="P25" s="9"/>
      <c r="Q25" s="14" t="s">
        <v>40</v>
      </c>
      <c r="R25" s="88"/>
      <c r="S25" s="88"/>
      <c r="T25" s="88">
        <f>IFERROR(Tabela15[[#This Row],[Program 2]]-Tabela15[[#This Row],[Program 1]],"Missing Data")</f>
        <v>0</v>
      </c>
    </row>
    <row r="26" spans="4:20" s="2" customFormat="1" ht="25.25" customHeight="1" x14ac:dyDescent="0.45">
      <c r="D26" s="8" t="s">
        <v>41</v>
      </c>
      <c r="E26" s="39"/>
      <c r="F26" s="86"/>
      <c r="G26" s="86"/>
      <c r="H26" s="86"/>
      <c r="I26" s="39"/>
      <c r="J26" s="86"/>
      <c r="K26" s="86"/>
      <c r="L26" s="86"/>
      <c r="M26" s="39">
        <f>IFERROR(Tabela134[[#This Row],[X2]]-Tabela134[[#This Row],[X1]],"Missing Data")</f>
        <v>0</v>
      </c>
      <c r="N26" s="39">
        <f>IFERROR(Tabela134[[#This Row],[Y2]]-Tabela134[[#This Row],[Y1]],"Missing Data")</f>
        <v>0</v>
      </c>
      <c r="O26" s="39">
        <f>IFERROR(Tabela134[[#This Row],[Z2]]-Tabela134[[#This Row],[Z1]],"Missing Data")</f>
        <v>0</v>
      </c>
      <c r="P26" s="9"/>
      <c r="Q26" s="14" t="s">
        <v>42</v>
      </c>
      <c r="R26" s="88"/>
      <c r="S26" s="88"/>
      <c r="T26" s="88">
        <f>IFERROR(Tabela15[[#This Row],[Program 2]]-Tabela15[[#This Row],[Program 1]],"Missing Data")</f>
        <v>0</v>
      </c>
    </row>
    <row r="27" spans="4:20" s="2" customFormat="1" ht="25.25" customHeight="1" x14ac:dyDescent="0.45">
      <c r="D27" s="8" t="s">
        <v>43</v>
      </c>
      <c r="E27" s="39"/>
      <c r="F27" s="86"/>
      <c r="G27" s="86"/>
      <c r="H27" s="86"/>
      <c r="I27" s="39"/>
      <c r="J27" s="86"/>
      <c r="K27" s="86"/>
      <c r="L27" s="86"/>
      <c r="M27" s="39">
        <f>IFERROR(Tabela134[[#This Row],[X2]]-Tabela134[[#This Row],[X1]],"Missing Data")</f>
        <v>0</v>
      </c>
      <c r="N27" s="39">
        <f>IFERROR(Tabela134[[#This Row],[Y2]]-Tabela134[[#This Row],[Y1]],"Missing Data")</f>
        <v>0</v>
      </c>
      <c r="O27" s="39">
        <f>IFERROR(Tabela134[[#This Row],[Z2]]-Tabela134[[#This Row],[Z1]],"Missing Data")</f>
        <v>0</v>
      </c>
      <c r="P27" s="9"/>
      <c r="Q27" s="19" t="s">
        <v>44</v>
      </c>
      <c r="R27" s="88"/>
      <c r="S27" s="88"/>
      <c r="T27" s="88">
        <f>IFERROR(Tabela15[[#This Row],[Program 2]]-Tabela15[[#This Row],[Program 1]],"Missing Data")</f>
        <v>0</v>
      </c>
    </row>
    <row r="28" spans="4:20" s="2" customFormat="1" ht="25.25" customHeight="1" x14ac:dyDescent="0.45">
      <c r="D28" s="8" t="s">
        <v>45</v>
      </c>
      <c r="E28" s="39"/>
      <c r="F28" s="86"/>
      <c r="G28" s="86"/>
      <c r="H28" s="86"/>
      <c r="I28" s="39"/>
      <c r="J28" s="86"/>
      <c r="K28" s="86"/>
      <c r="L28" s="86"/>
      <c r="M28" s="39">
        <f>IFERROR(Tabela134[[#This Row],[X2]]-Tabela134[[#This Row],[X1]],"Missing Data")</f>
        <v>0</v>
      </c>
      <c r="N28" s="39">
        <f>IFERROR(Tabela134[[#This Row],[Y2]]-Tabela134[[#This Row],[Y1]],"Missing Data")</f>
        <v>0</v>
      </c>
      <c r="O28" s="39">
        <f>IFERROR(Tabela134[[#This Row],[Z2]]-Tabela134[[#This Row],[Z1]],"Missing Data")</f>
        <v>0</v>
      </c>
      <c r="P28" s="9"/>
    </row>
    <row r="29" spans="4:20" s="2" customFormat="1" ht="25.25" customHeight="1" x14ac:dyDescent="0.45">
      <c r="D29" s="8" t="s">
        <v>46</v>
      </c>
      <c r="E29" s="39"/>
      <c r="F29" s="86"/>
      <c r="G29" s="86"/>
      <c r="H29" s="86"/>
      <c r="I29" s="39"/>
      <c r="J29" s="86"/>
      <c r="K29" s="86"/>
      <c r="L29" s="86"/>
      <c r="M29" s="39">
        <f>IFERROR(Tabela134[[#This Row],[X2]]-Tabela134[[#This Row],[X1]],"Missing Data")</f>
        <v>0</v>
      </c>
      <c r="N29" s="39">
        <f>IFERROR(Tabela134[[#This Row],[Y2]]-Tabela134[[#This Row],[Y1]],"Missing Data")</f>
        <v>0</v>
      </c>
      <c r="O29" s="39">
        <f>IFERROR(Tabela134[[#This Row],[Z2]]-Tabela134[[#This Row],[Z1]],"Missing Data")</f>
        <v>0</v>
      </c>
      <c r="P29" s="9"/>
    </row>
    <row r="30" spans="4:20" s="2" customFormat="1" ht="25.25" customHeight="1" x14ac:dyDescent="0.45">
      <c r="D30" s="8" t="s">
        <v>53</v>
      </c>
      <c r="E30" s="39"/>
      <c r="F30" s="86"/>
      <c r="G30" s="86"/>
      <c r="H30" s="86"/>
      <c r="I30" s="39"/>
      <c r="J30" s="86"/>
      <c r="K30" s="86"/>
      <c r="L30" s="86"/>
      <c r="M30" s="39">
        <f>IFERROR(Tabela134[[#This Row],[X2]]-Tabela134[[#This Row],[X1]],"Missing Data")</f>
        <v>0</v>
      </c>
      <c r="N30" s="39">
        <f>IFERROR(Tabela134[[#This Row],[Y2]]-Tabela134[[#This Row],[Y1]],"Missing Data")</f>
        <v>0</v>
      </c>
      <c r="O30" s="39">
        <f>IFERROR(Tabela134[[#This Row],[Z2]]-Tabela134[[#This Row],[Z1]],"Missing Data")</f>
        <v>0</v>
      </c>
      <c r="P30" s="9"/>
    </row>
    <row r="31" spans="4:20" s="2" customFormat="1" ht="25.25" customHeight="1" x14ac:dyDescent="0.45">
      <c r="D31" s="8" t="s">
        <v>54</v>
      </c>
      <c r="E31" s="39"/>
      <c r="F31" s="86"/>
      <c r="G31" s="86"/>
      <c r="H31" s="86"/>
      <c r="I31" s="39"/>
      <c r="J31" s="86"/>
      <c r="K31" s="86"/>
      <c r="L31" s="86"/>
      <c r="M31" s="39">
        <f>IFERROR(Tabela134[[#This Row],[X2]]-Tabela134[[#This Row],[X1]],"Missing Data")</f>
        <v>0</v>
      </c>
      <c r="N31" s="39">
        <f>IFERROR(Tabela134[[#This Row],[Y2]]-Tabela134[[#This Row],[Y1]],"Missing Data")</f>
        <v>0</v>
      </c>
      <c r="O31" s="39">
        <f>IFERROR(Tabela134[[#This Row],[Z2]]-Tabela134[[#This Row],[Z1]],"Missing Data")</f>
        <v>0</v>
      </c>
      <c r="P31" s="9"/>
    </row>
    <row r="32" spans="4:20" s="2" customFormat="1" ht="25.25" customHeight="1" x14ac:dyDescent="0.45">
      <c r="D32" s="8" t="s">
        <v>47</v>
      </c>
      <c r="E32" s="39"/>
      <c r="F32" s="86"/>
      <c r="G32" s="86"/>
      <c r="H32" s="86"/>
      <c r="I32" s="39"/>
      <c r="J32" s="86"/>
      <c r="K32" s="86"/>
      <c r="L32" s="86"/>
      <c r="M32" s="39">
        <f>IFERROR(Tabela134[[#This Row],[X2]]-Tabela134[[#This Row],[X1]],"Missing Data")</f>
        <v>0</v>
      </c>
      <c r="N32" s="39">
        <f>IFERROR(Tabela134[[#This Row],[Y2]]-Tabela134[[#This Row],[Y1]],"Missing Data")</f>
        <v>0</v>
      </c>
      <c r="O32" s="39">
        <f>IFERROR(Tabela134[[#This Row],[Z2]]-Tabela134[[#This Row],[Z1]],"Missing Data")</f>
        <v>0</v>
      </c>
      <c r="P32" s="9"/>
    </row>
    <row r="33" spans="4:20" s="2" customFormat="1" ht="25.25" customHeight="1" x14ac:dyDescent="0.45">
      <c r="D33" s="8" t="s">
        <v>215</v>
      </c>
      <c r="E33" s="39"/>
      <c r="F33" s="86"/>
      <c r="G33" s="86"/>
      <c r="H33" s="86"/>
      <c r="I33" s="39"/>
      <c r="J33" s="86"/>
      <c r="K33" s="86"/>
      <c r="L33" s="86"/>
      <c r="M33" s="39">
        <f>IFERROR(Tabela134[[#This Row],[X2]]-Tabela134[[#This Row],[X1]],"Missing Data")</f>
        <v>0</v>
      </c>
      <c r="N33" s="39">
        <f>IFERROR(Tabela134[[#This Row],[Y2]]-Tabela134[[#This Row],[Y1]],"Missing Data")</f>
        <v>0</v>
      </c>
      <c r="O33" s="39">
        <f>IFERROR(Tabela134[[#This Row],[Z2]]-Tabela134[[#This Row],[Z1]],"Missing Data")</f>
        <v>0</v>
      </c>
      <c r="P33" s="9"/>
    </row>
    <row r="34" spans="4:20" s="2" customFormat="1" ht="25.25" customHeight="1" x14ac:dyDescent="0.45">
      <c r="D34" s="8" t="s">
        <v>216</v>
      </c>
      <c r="E34" s="39"/>
      <c r="F34" s="86"/>
      <c r="G34" s="86"/>
      <c r="H34" s="86"/>
      <c r="I34" s="39"/>
      <c r="J34" s="86"/>
      <c r="K34" s="86"/>
      <c r="L34" s="86"/>
      <c r="M34" s="39">
        <f>IFERROR(Tabela134[[#This Row],[X2]]-Tabela134[[#This Row],[X1]],"Missing Data")</f>
        <v>0</v>
      </c>
      <c r="N34" s="39">
        <f>IFERROR(Tabela134[[#This Row],[Y2]]-Tabela134[[#This Row],[Y1]],"Missing Data")</f>
        <v>0</v>
      </c>
      <c r="O34" s="39">
        <f>IFERROR(Tabela134[[#This Row],[Z2]]-Tabela134[[#This Row],[Z1]],"Missing Data")</f>
        <v>0</v>
      </c>
      <c r="P34" s="9"/>
    </row>
    <row r="35" spans="4:20" s="2" customFormat="1" ht="25.25" customHeight="1" x14ac:dyDescent="0.45">
      <c r="D35" s="8" t="s">
        <v>55</v>
      </c>
      <c r="E35" s="39"/>
      <c r="F35" s="86"/>
      <c r="G35" s="86"/>
      <c r="H35" s="86"/>
      <c r="I35" s="39"/>
      <c r="J35" s="86"/>
      <c r="K35" s="86"/>
      <c r="L35" s="86"/>
      <c r="M35" s="39">
        <f>IFERROR(Tabela134[[#This Row],[X2]]-Tabela134[[#This Row],[X1]],"Missing Data")</f>
        <v>0</v>
      </c>
      <c r="N35" s="39">
        <f>IFERROR(Tabela134[[#This Row],[Y2]]-Tabela134[[#This Row],[Y1]],"Missing Data")</f>
        <v>0</v>
      </c>
      <c r="O35" s="39">
        <f>IFERROR(Tabela134[[#This Row],[Z2]]-Tabela134[[#This Row],[Z1]],"Missing Data")</f>
        <v>0</v>
      </c>
      <c r="P35" s="9"/>
    </row>
    <row r="36" spans="4:20" s="2" customFormat="1" ht="25.25" customHeight="1" x14ac:dyDescent="0.45">
      <c r="D36" s="8" t="s">
        <v>56</v>
      </c>
      <c r="E36" s="39"/>
      <c r="F36" s="86"/>
      <c r="G36" s="86"/>
      <c r="H36" s="86"/>
      <c r="I36" s="39"/>
      <c r="J36" s="86"/>
      <c r="K36" s="86"/>
      <c r="L36" s="86"/>
      <c r="M36" s="39">
        <f>IFERROR(Tabela134[[#This Row],[X2]]-Tabela134[[#This Row],[X1]],"Missing Data")</f>
        <v>0</v>
      </c>
      <c r="N36" s="39">
        <f>IFERROR(Tabela134[[#This Row],[Y2]]-Tabela134[[#This Row],[Y1]],"Missing Data")</f>
        <v>0</v>
      </c>
      <c r="O36" s="39">
        <f>IFERROR(Tabela134[[#This Row],[Z2]]-Tabela134[[#This Row],[Z1]],"Missing Data")</f>
        <v>0</v>
      </c>
      <c r="P36" s="9"/>
    </row>
    <row r="37" spans="4:20" s="2" customFormat="1" ht="25.25" customHeight="1" x14ac:dyDescent="0.45">
      <c r="D37" s="8" t="s">
        <v>57</v>
      </c>
      <c r="E37" s="39"/>
      <c r="F37" s="86"/>
      <c r="G37" s="86"/>
      <c r="H37" s="86"/>
      <c r="I37" s="39"/>
      <c r="J37" s="86"/>
      <c r="K37" s="86"/>
      <c r="L37" s="86"/>
      <c r="M37" s="39">
        <f>IFERROR(Tabela134[[#This Row],[X2]]-Tabela134[[#This Row],[X1]],"Missing Data")</f>
        <v>0</v>
      </c>
      <c r="N37" s="39">
        <f>IFERROR(Tabela134[[#This Row],[Y2]]-Tabela134[[#This Row],[Y1]],"Missing Data")</f>
        <v>0</v>
      </c>
      <c r="O37" s="39">
        <f>IFERROR(Tabela134[[#This Row],[Z2]]-Tabela134[[#This Row],[Z1]],"Missing Data")</f>
        <v>0</v>
      </c>
      <c r="P37" s="9"/>
    </row>
    <row r="38" spans="4:20" s="2" customFormat="1" ht="25.25" customHeight="1" x14ac:dyDescent="0.45">
      <c r="D38" s="8" t="s">
        <v>218</v>
      </c>
      <c r="E38" s="39"/>
      <c r="F38" s="86"/>
      <c r="G38" s="86"/>
      <c r="H38" s="86"/>
      <c r="I38" s="39"/>
      <c r="J38" s="86"/>
      <c r="K38" s="86"/>
      <c r="L38" s="86"/>
      <c r="M38" s="39">
        <f>IFERROR(Tabela134[[#This Row],[X2]]-Tabela134[[#This Row],[X1]],"Missing Data")</f>
        <v>0</v>
      </c>
      <c r="N38" s="39">
        <f>IFERROR(Tabela134[[#This Row],[Y2]]-Tabela134[[#This Row],[Y1]],"Missing Data")</f>
        <v>0</v>
      </c>
      <c r="O38" s="39">
        <f>IFERROR(Tabela134[[#This Row],[Z2]]-Tabela134[[#This Row],[Z1]],"Missing Data")</f>
        <v>0</v>
      </c>
      <c r="P38" s="9"/>
    </row>
    <row r="39" spans="4:20" s="2" customFormat="1" ht="25.25" customHeight="1" x14ac:dyDescent="0.45">
      <c r="D39" s="8" t="s">
        <v>219</v>
      </c>
      <c r="E39" s="39"/>
      <c r="F39" s="86"/>
      <c r="G39" s="86"/>
      <c r="H39" s="86"/>
      <c r="I39" s="39"/>
      <c r="J39" s="86"/>
      <c r="K39" s="86"/>
      <c r="L39" s="86"/>
      <c r="M39" s="39">
        <f>IFERROR(Tabela134[[#This Row],[X2]]-Tabela134[[#This Row],[X1]],"Missing Data")</f>
        <v>0</v>
      </c>
      <c r="N39" s="39">
        <f>IFERROR(Tabela134[[#This Row],[Y2]]-Tabela134[[#This Row],[Y1]],"Missing Data")</f>
        <v>0</v>
      </c>
      <c r="O39" s="39">
        <f>IFERROR(Tabela134[[#This Row],[Z2]]-Tabela134[[#This Row],[Z1]],"Missing Data")</f>
        <v>0</v>
      </c>
      <c r="P39" s="9"/>
    </row>
    <row r="41" spans="4:20" s="2" customFormat="1" ht="32" customHeight="1" thickBot="1" x14ac:dyDescent="0.5">
      <c r="D41" s="10" t="s">
        <v>58</v>
      </c>
      <c r="E41" s="7" t="s">
        <v>16</v>
      </c>
      <c r="F41" s="7" t="s">
        <v>17</v>
      </c>
      <c r="G41" s="7" t="s">
        <v>18</v>
      </c>
      <c r="H41" s="7" t="s">
        <v>19</v>
      </c>
      <c r="I41" s="3" t="s">
        <v>20</v>
      </c>
      <c r="J41" s="3" t="s">
        <v>21</v>
      </c>
      <c r="K41" s="3" t="s">
        <v>22</v>
      </c>
      <c r="L41" s="3" t="s">
        <v>23</v>
      </c>
      <c r="M41" s="4" t="s">
        <v>24</v>
      </c>
      <c r="N41" s="4" t="s">
        <v>25</v>
      </c>
      <c r="O41" s="4" t="s">
        <v>26</v>
      </c>
      <c r="Q41" s="15" t="s">
        <v>59</v>
      </c>
      <c r="R41" s="16" t="s">
        <v>28</v>
      </c>
      <c r="S41" s="17" t="s">
        <v>29</v>
      </c>
      <c r="T41" s="18" t="s">
        <v>30</v>
      </c>
    </row>
    <row r="42" spans="4:20" s="2" customFormat="1" ht="24.75" customHeight="1" x14ac:dyDescent="0.45">
      <c r="D42" s="8" t="s">
        <v>60</v>
      </c>
      <c r="E42" s="39"/>
      <c r="F42" s="86"/>
      <c r="G42" s="86"/>
      <c r="H42" s="86"/>
      <c r="I42" s="39"/>
      <c r="J42" s="86"/>
      <c r="K42" s="86"/>
      <c r="L42" s="86"/>
      <c r="M42" s="39">
        <f>IFERROR(Tabela1345[[#This Row],[X2]]-Tabela1345[[#This Row],[X1]],"Missing Data")</f>
        <v>0</v>
      </c>
      <c r="N42" s="86">
        <f>IFERROR(Tabela1345[[#This Row],[Y2]]-Tabela1345[[#This Row],[Y1]],"Missing Data")</f>
        <v>0</v>
      </c>
      <c r="O42" s="86">
        <f>IFERROR(Tabela1345[[#This Row],[Z2]]-Tabela1345[[#This Row],[Z1]],"Missing Data")</f>
        <v>0</v>
      </c>
      <c r="Q42" s="14" t="s">
        <v>61</v>
      </c>
      <c r="R42" s="90"/>
      <c r="S42" s="90"/>
      <c r="T42" s="90">
        <f>IFERROR(Tabela16[[#This Row],[Program 2]]-Tabela16[[#This Row],[Program 1]],"Missing Data")</f>
        <v>0</v>
      </c>
    </row>
    <row r="43" spans="4:20" s="2" customFormat="1" ht="24.75" customHeight="1" x14ac:dyDescent="0.45">
      <c r="D43" s="8" t="s">
        <v>62</v>
      </c>
      <c r="E43" s="39"/>
      <c r="F43" s="86"/>
      <c r="G43" s="86"/>
      <c r="H43" s="86"/>
      <c r="I43" s="39"/>
      <c r="J43" s="86"/>
      <c r="K43" s="86"/>
      <c r="L43" s="86"/>
      <c r="M43" s="39">
        <f>IFERROR(Tabela1345[[#This Row],[X2]]-Tabela1345[[#This Row],[X1]],"Missing Data")</f>
        <v>0</v>
      </c>
      <c r="N43" s="86">
        <f>IFERROR(Tabela1345[[#This Row],[Y2]]-Tabela1345[[#This Row],[Y1]],"Missing Data")</f>
        <v>0</v>
      </c>
      <c r="O43" s="86">
        <f>IFERROR(Tabela1345[[#This Row],[Z2]]-Tabela1345[[#This Row],[Z1]],"Missing Data")</f>
        <v>0</v>
      </c>
      <c r="Q43" s="14" t="s">
        <v>63</v>
      </c>
      <c r="R43" s="89"/>
      <c r="S43" s="89"/>
      <c r="T43" s="89">
        <f>IFERROR(Tabela16[[#This Row],[Program 2]]-Tabela16[[#This Row],[Program 1]],"Missing Data")</f>
        <v>0</v>
      </c>
    </row>
    <row r="44" spans="4:20" s="2" customFormat="1" ht="24.75" customHeight="1" x14ac:dyDescent="0.45">
      <c r="D44" s="8" t="s">
        <v>64</v>
      </c>
      <c r="E44" s="39"/>
      <c r="F44" s="86"/>
      <c r="G44" s="86"/>
      <c r="H44" s="86"/>
      <c r="I44" s="39"/>
      <c r="J44" s="86"/>
      <c r="K44" s="86"/>
      <c r="L44" s="86"/>
      <c r="M44" s="39">
        <f>IFERROR(Tabela1345[[#This Row],[X2]]-Tabela1345[[#This Row],[X1]],"Missing Data")</f>
        <v>0</v>
      </c>
      <c r="N44" s="86">
        <f>IFERROR(Tabela1345[[#This Row],[Y2]]-Tabela1345[[#This Row],[Y1]],"Missing Data")</f>
        <v>0</v>
      </c>
      <c r="O44" s="86">
        <f>IFERROR(Tabela1345[[#This Row],[Z2]]-Tabela1345[[#This Row],[Z1]],"Missing Data")</f>
        <v>0</v>
      </c>
      <c r="Q44" s="93" t="s">
        <v>65</v>
      </c>
      <c r="R44" s="94"/>
      <c r="S44" s="94"/>
      <c r="T44" s="94">
        <f>IFERROR(Tabela16[[#This Row],[Program 2]]-Tabela16[[#This Row],[Program 1]],"Missing Data")</f>
        <v>0</v>
      </c>
    </row>
    <row r="45" spans="4:20" s="2" customFormat="1" ht="24.75" customHeight="1" thickBot="1" x14ac:dyDescent="0.5">
      <c r="D45" s="8" t="s">
        <v>66</v>
      </c>
      <c r="E45" s="39"/>
      <c r="F45" s="86"/>
      <c r="G45" s="86"/>
      <c r="H45" s="86"/>
      <c r="I45" s="39"/>
      <c r="J45" s="86"/>
      <c r="K45" s="86"/>
      <c r="L45" s="86"/>
      <c r="M45" s="39">
        <f>IFERROR(Tabela1345[[#This Row],[X2]]-Tabela1345[[#This Row],[X1]],"Missing Data")</f>
        <v>0</v>
      </c>
      <c r="N45" s="86">
        <f>IFERROR(Tabela1345[[#This Row],[Y2]]-Tabela1345[[#This Row],[Y1]],"Missing Data")</f>
        <v>0</v>
      </c>
      <c r="O45" s="86">
        <f>IFERROR(Tabela1345[[#This Row],[Z2]]-Tabela1345[[#This Row],[Z1]],"Missing Data")</f>
        <v>0</v>
      </c>
      <c r="Q45" s="91" t="s">
        <v>67</v>
      </c>
      <c r="R45" s="92"/>
      <c r="S45" s="92"/>
      <c r="T45" s="92">
        <f>IFERROR(Tabela16[[#This Row],[Program 2]]-Tabela16[[#This Row],[Program 1]],"Missing Data")</f>
        <v>0</v>
      </c>
    </row>
    <row r="46" spans="4:20" s="2" customFormat="1" ht="24.75" customHeight="1" x14ac:dyDescent="0.45">
      <c r="D46" s="8" t="s">
        <v>68</v>
      </c>
      <c r="E46" s="39"/>
      <c r="F46" s="86"/>
      <c r="G46" s="86"/>
      <c r="H46" s="86"/>
      <c r="I46" s="39"/>
      <c r="J46" s="86"/>
      <c r="K46" s="86"/>
      <c r="L46" s="86"/>
      <c r="M46" s="39">
        <f>IFERROR(Tabela1345[[#This Row],[X2]]-Tabela1345[[#This Row],[X1]],"Missing Data")</f>
        <v>0</v>
      </c>
      <c r="N46" s="86">
        <f>IFERROR(Tabela1345[[#This Row],[Y2]]-Tabela1345[[#This Row],[Y1]],"Missing Data")</f>
        <v>0</v>
      </c>
      <c r="O46" s="86">
        <f>IFERROR(Tabela1345[[#This Row],[Z2]]-Tabela1345[[#This Row],[Z1]],"Missing Data")</f>
        <v>0</v>
      </c>
    </row>
    <row r="47" spans="4:20" s="2" customFormat="1" ht="24.75" customHeight="1" x14ac:dyDescent="0.45">
      <c r="D47" s="8" t="s">
        <v>220</v>
      </c>
      <c r="E47" s="39"/>
      <c r="F47" s="86"/>
      <c r="G47" s="86"/>
      <c r="H47" s="86"/>
      <c r="I47" s="39"/>
      <c r="J47" s="86"/>
      <c r="K47" s="86"/>
      <c r="L47" s="86"/>
      <c r="M47" s="39">
        <f>IFERROR(Tabela1345[[#This Row],[X2]]-Tabela1345[[#This Row],[X1]],"Missing Data")</f>
        <v>0</v>
      </c>
      <c r="N47" s="86">
        <f>IFERROR(Tabela1345[[#This Row],[Y2]]-Tabela1345[[#This Row],[Y1]],"Missing Data")</f>
        <v>0</v>
      </c>
      <c r="O47" s="86">
        <f>IFERROR(Tabela1345[[#This Row],[Z2]]-Tabela1345[[#This Row],[Z1]],"Missing Data")</f>
        <v>0</v>
      </c>
    </row>
    <row r="48" spans="4:20" s="2" customFormat="1" ht="24.75" customHeight="1" x14ac:dyDescent="0.45">
      <c r="D48" s="8" t="s">
        <v>69</v>
      </c>
      <c r="E48" s="39"/>
      <c r="F48" s="86"/>
      <c r="G48" s="86"/>
      <c r="H48" s="86"/>
      <c r="I48" s="39"/>
      <c r="J48" s="86"/>
      <c r="K48" s="86"/>
      <c r="L48" s="86"/>
      <c r="M48" s="39">
        <f>IFERROR(Tabela1345[[#This Row],[X2]]-Tabela1345[[#This Row],[X1]],"Missing Data")</f>
        <v>0</v>
      </c>
      <c r="N48" s="86">
        <f>IFERROR(Tabela1345[[#This Row],[Y2]]-Tabela1345[[#This Row],[Y1]],"Missing Data")</f>
        <v>0</v>
      </c>
      <c r="O48" s="86">
        <f>IFERROR(Tabela1345[[#This Row],[Z2]]-Tabela1345[[#This Row],[Z1]],"Missing Data")</f>
        <v>0</v>
      </c>
    </row>
    <row r="49" spans="4:20" s="2" customFormat="1" ht="24.75" customHeight="1" x14ac:dyDescent="0.45">
      <c r="D49" s="8" t="s">
        <v>70</v>
      </c>
      <c r="E49" s="39"/>
      <c r="F49" s="86"/>
      <c r="G49" s="86"/>
      <c r="H49" s="86"/>
      <c r="I49" s="39"/>
      <c r="J49" s="86"/>
      <c r="K49" s="86"/>
      <c r="L49" s="86"/>
      <c r="M49" s="39">
        <f>IFERROR(Tabela1345[[#This Row],[X2]]-Tabela1345[[#This Row],[X1]],"Missing Data")</f>
        <v>0</v>
      </c>
      <c r="N49" s="86">
        <f>IFERROR(Tabela1345[[#This Row],[Y2]]-Tabela1345[[#This Row],[Y1]],"Missing Data")</f>
        <v>0</v>
      </c>
      <c r="O49" s="86">
        <f>IFERROR(Tabela1345[[#This Row],[Z2]]-Tabela1345[[#This Row],[Z1]],"Missing Data")</f>
        <v>0</v>
      </c>
    </row>
    <row r="51" spans="4:20" s="2" customFormat="1" ht="32" customHeight="1" x14ac:dyDescent="0.45">
      <c r="D51" s="10" t="s">
        <v>377</v>
      </c>
      <c r="E51" s="7" t="s">
        <v>16</v>
      </c>
      <c r="F51" s="7" t="s">
        <v>17</v>
      </c>
      <c r="G51" s="7" t="s">
        <v>18</v>
      </c>
      <c r="H51" s="7" t="s">
        <v>19</v>
      </c>
      <c r="I51" s="3" t="s">
        <v>20</v>
      </c>
      <c r="J51" s="3" t="s">
        <v>21</v>
      </c>
      <c r="K51" s="3" t="s">
        <v>22</v>
      </c>
      <c r="L51" s="3" t="s">
        <v>23</v>
      </c>
      <c r="M51" s="4" t="s">
        <v>24</v>
      </c>
      <c r="N51" s="4" t="s">
        <v>25</v>
      </c>
      <c r="O51" s="4" t="s">
        <v>26</v>
      </c>
      <c r="Q51"/>
      <c r="R51"/>
      <c r="S51"/>
      <c r="T51"/>
    </row>
    <row r="52" spans="4:20" ht="24.75" customHeight="1" x14ac:dyDescent="0.45">
      <c r="D52" s="8" t="s">
        <v>71</v>
      </c>
      <c r="E52" s="39"/>
      <c r="F52" s="86"/>
      <c r="G52" s="86"/>
      <c r="H52" s="86"/>
      <c r="I52" s="39"/>
      <c r="J52" s="86"/>
      <c r="K52" s="86"/>
      <c r="L52" s="86"/>
      <c r="M52" s="39">
        <f>IFERROR(Tabela13456[[#This Row],[X2]]-Tabela13456[[#This Row],[X1]],"Missing Data")</f>
        <v>0</v>
      </c>
      <c r="N52" s="39">
        <f>IFERROR(Tabela13456[[#This Row],[Y2]]-Tabela13456[[#This Row],[Y1]],"Missing Data")</f>
        <v>0</v>
      </c>
      <c r="O52" s="39">
        <f>IFERROR(Tabela13456[[#This Row],[Z2]]-Tabela13456[[#This Row],[Z1]],"Missing Data")</f>
        <v>0</v>
      </c>
    </row>
    <row r="53" spans="4:20" ht="24.75" customHeight="1" x14ac:dyDescent="0.45">
      <c r="D53" s="8" t="s">
        <v>72</v>
      </c>
      <c r="E53" s="39"/>
      <c r="F53" s="86"/>
      <c r="G53" s="86"/>
      <c r="H53" s="86"/>
      <c r="I53" s="39"/>
      <c r="J53" s="86"/>
      <c r="K53" s="86"/>
      <c r="L53" s="86"/>
      <c r="M53" s="39">
        <f>IFERROR(Tabela13456[[#This Row],[X2]]-Tabela13456[[#This Row],[X1]],"Missing Data")</f>
        <v>0</v>
      </c>
      <c r="N53" s="39">
        <f>IFERROR(Tabela13456[[#This Row],[Y2]]-Tabela13456[[#This Row],[Y1]],"Missing Data")</f>
        <v>0</v>
      </c>
      <c r="O53" s="39">
        <f>IFERROR(Tabela13456[[#This Row],[Z2]]-Tabela13456[[#This Row],[Z1]],"Missing Data")</f>
        <v>0</v>
      </c>
    </row>
    <row r="54" spans="4:20" ht="24.75" customHeight="1" x14ac:dyDescent="0.45">
      <c r="D54" s="8" t="s">
        <v>73</v>
      </c>
      <c r="E54" s="39"/>
      <c r="F54" s="86"/>
      <c r="G54" s="86"/>
      <c r="H54" s="86"/>
      <c r="I54" s="39"/>
      <c r="J54" s="86"/>
      <c r="K54" s="86"/>
      <c r="L54" s="86"/>
      <c r="M54" s="39">
        <f>IFERROR(Tabela13456[[#This Row],[X2]]-Tabela13456[[#This Row],[X1]],"Missing Data")</f>
        <v>0</v>
      </c>
      <c r="N54" s="39">
        <f>IFERROR(Tabela13456[[#This Row],[Y2]]-Tabela13456[[#This Row],[Y1]],"Missing Data")</f>
        <v>0</v>
      </c>
      <c r="O54" s="39">
        <f>IFERROR(Tabela13456[[#This Row],[Z2]]-Tabela13456[[#This Row],[Z1]],"Missing Data")</f>
        <v>0</v>
      </c>
    </row>
    <row r="55" spans="4:20" ht="24.75" customHeight="1" x14ac:dyDescent="0.45">
      <c r="D55" s="8" t="s">
        <v>74</v>
      </c>
      <c r="E55" s="39"/>
      <c r="F55" s="86"/>
      <c r="G55" s="86"/>
      <c r="H55" s="86"/>
      <c r="I55" s="39"/>
      <c r="J55" s="86"/>
      <c r="K55" s="86"/>
      <c r="L55" s="86"/>
      <c r="M55" s="39">
        <f>IFERROR(Tabela13456[[#This Row],[X2]]-Tabela13456[[#This Row],[X1]],"Missing Data")</f>
        <v>0</v>
      </c>
      <c r="N55" s="39">
        <f>IFERROR(Tabela13456[[#This Row],[Y2]]-Tabela13456[[#This Row],[Y1]],"Missing Data")</f>
        <v>0</v>
      </c>
      <c r="O55" s="39">
        <f>IFERROR(Tabela13456[[#This Row],[Z2]]-Tabela13456[[#This Row],[Z1]],"Missing Data")</f>
        <v>0</v>
      </c>
    </row>
    <row r="56" spans="4:20" ht="24.75" customHeight="1" x14ac:dyDescent="0.45">
      <c r="D56" s="8" t="s">
        <v>75</v>
      </c>
      <c r="E56" s="39"/>
      <c r="F56" s="86"/>
      <c r="G56" s="86"/>
      <c r="H56" s="86"/>
      <c r="I56" s="39"/>
      <c r="J56" s="86"/>
      <c r="K56" s="86"/>
      <c r="L56" s="86"/>
      <c r="M56" s="39">
        <f>IFERROR(Tabela13456[[#This Row],[X2]]-Tabela13456[[#This Row],[X1]],"Missing Data")</f>
        <v>0</v>
      </c>
      <c r="N56" s="39">
        <f>IFERROR(Tabela13456[[#This Row],[Y2]]-Tabela13456[[#This Row],[Y1]],"Missing Data")</f>
        <v>0</v>
      </c>
      <c r="O56" s="39">
        <f>IFERROR(Tabela13456[[#This Row],[Z2]]-Tabela13456[[#This Row],[Z1]],"Missing Data")</f>
        <v>0</v>
      </c>
    </row>
    <row r="57" spans="4:20" ht="24.75" customHeight="1" x14ac:dyDescent="0.45">
      <c r="D57" s="8" t="s">
        <v>76</v>
      </c>
      <c r="E57" s="39"/>
      <c r="F57" s="86"/>
      <c r="G57" s="86"/>
      <c r="H57" s="86"/>
      <c r="I57" s="39"/>
      <c r="J57" s="86"/>
      <c r="K57" s="86"/>
      <c r="L57" s="86"/>
      <c r="M57" s="39">
        <f>IFERROR(Tabela13456[[#This Row],[X2]]-Tabela13456[[#This Row],[X1]],"Missing Data")</f>
        <v>0</v>
      </c>
      <c r="N57" s="39">
        <f>IFERROR(Tabela13456[[#This Row],[Y2]]-Tabela13456[[#This Row],[Y1]],"Missing Data")</f>
        <v>0</v>
      </c>
      <c r="O57" s="39">
        <f>IFERROR(Tabela13456[[#This Row],[Z2]]-Tabela13456[[#This Row],[Z1]],"Missing Data")</f>
        <v>0</v>
      </c>
    </row>
    <row r="58" spans="4:20" ht="24.75" customHeight="1" x14ac:dyDescent="0.45">
      <c r="D58" s="8" t="s">
        <v>77</v>
      </c>
      <c r="E58" s="39"/>
      <c r="F58" s="86"/>
      <c r="G58" s="86"/>
      <c r="H58" s="86"/>
      <c r="I58" s="39"/>
      <c r="J58" s="86"/>
      <c r="K58" s="86"/>
      <c r="L58" s="86"/>
      <c r="M58" s="39">
        <f>IFERROR(Tabela13456[[#This Row],[X2]]-Tabela13456[[#This Row],[X1]],"Missing Data")</f>
        <v>0</v>
      </c>
      <c r="N58" s="39">
        <f>IFERROR(Tabela13456[[#This Row],[Y2]]-Tabela13456[[#This Row],[Y1]],"Missing Data")</f>
        <v>0</v>
      </c>
      <c r="O58" s="39">
        <f>IFERROR(Tabela13456[[#This Row],[Z2]]-Tabela13456[[#This Row],[Z1]],"Missing Data")</f>
        <v>0</v>
      </c>
    </row>
    <row r="59" spans="4:20" ht="24.75" customHeight="1" x14ac:dyDescent="0.45">
      <c r="D59" s="8" t="s">
        <v>78</v>
      </c>
      <c r="E59" s="39"/>
      <c r="F59" s="86"/>
      <c r="G59" s="86"/>
      <c r="H59" s="86"/>
      <c r="I59" s="39"/>
      <c r="J59" s="86"/>
      <c r="K59" s="86"/>
      <c r="L59" s="86"/>
      <c r="M59" s="39">
        <f>IFERROR(Tabela13456[[#This Row],[X2]]-Tabela13456[[#This Row],[X1]],"Missing Data")</f>
        <v>0</v>
      </c>
      <c r="N59" s="39">
        <f>IFERROR(Tabela13456[[#This Row],[Y2]]-Tabela13456[[#This Row],[Y1]],"Missing Data")</f>
        <v>0</v>
      </c>
      <c r="O59" s="39">
        <f>IFERROR(Tabela13456[[#This Row],[Z2]]-Tabela13456[[#This Row],[Z1]],"Missing Data")</f>
        <v>0</v>
      </c>
    </row>
    <row r="60" spans="4:20" ht="24.75" customHeight="1" x14ac:dyDescent="0.45">
      <c r="D60" s="8" t="s">
        <v>79</v>
      </c>
      <c r="E60" s="39"/>
      <c r="F60" s="86"/>
      <c r="G60" s="86"/>
      <c r="H60" s="86"/>
      <c r="I60" s="39"/>
      <c r="J60" s="86"/>
      <c r="K60" s="86"/>
      <c r="L60" s="86"/>
      <c r="M60" s="39">
        <f>IFERROR(Tabela13456[[#This Row],[X2]]-Tabela13456[[#This Row],[X1]],"Missing Data")</f>
        <v>0</v>
      </c>
      <c r="N60" s="39">
        <f>IFERROR(Tabela13456[[#This Row],[Y2]]-Tabela13456[[#This Row],[Y1]],"Missing Data")</f>
        <v>0</v>
      </c>
      <c r="O60" s="39">
        <f>IFERROR(Tabela13456[[#This Row],[Z2]]-Tabela13456[[#This Row],[Z1]],"Missing Data")</f>
        <v>0</v>
      </c>
    </row>
    <row r="61" spans="4:20" ht="24.75" customHeight="1" x14ac:dyDescent="0.45">
      <c r="D61" s="8" t="s">
        <v>80</v>
      </c>
      <c r="E61" s="39"/>
      <c r="F61" s="86"/>
      <c r="G61" s="86"/>
      <c r="H61" s="86"/>
      <c r="I61" s="39"/>
      <c r="J61" s="86"/>
      <c r="K61" s="86"/>
      <c r="L61" s="86"/>
      <c r="M61" s="39">
        <f>IFERROR(Tabela13456[[#This Row],[X2]]-Tabela13456[[#This Row],[X1]],"Missing Data")</f>
        <v>0</v>
      </c>
      <c r="N61" s="39">
        <f>IFERROR(Tabela13456[[#This Row],[Y2]]-Tabela13456[[#This Row],[Y1]],"Missing Data")</f>
        <v>0</v>
      </c>
      <c r="O61" s="39">
        <f>IFERROR(Tabela13456[[#This Row],[Z2]]-Tabela13456[[#This Row],[Z1]],"Missing Data")</f>
        <v>0</v>
      </c>
    </row>
    <row r="62" spans="4:20" ht="24.75" customHeight="1" x14ac:dyDescent="0.45">
      <c r="D62" s="8" t="s">
        <v>81</v>
      </c>
      <c r="E62" s="39"/>
      <c r="F62" s="86"/>
      <c r="G62" s="86"/>
      <c r="H62" s="86"/>
      <c r="I62" s="39"/>
      <c r="J62" s="86"/>
      <c r="K62" s="86"/>
      <c r="L62" s="86"/>
      <c r="M62" s="39">
        <f>IFERROR(Tabela13456[[#This Row],[X2]]-Tabela13456[[#This Row],[X1]],"Missing Data")</f>
        <v>0</v>
      </c>
      <c r="N62" s="39">
        <f>IFERROR(Tabela13456[[#This Row],[Y2]]-Tabela13456[[#This Row],[Y1]],"Missing Data")</f>
        <v>0</v>
      </c>
      <c r="O62" s="39">
        <f>IFERROR(Tabela13456[[#This Row],[Z2]]-Tabela13456[[#This Row],[Z1]],"Missing Data")</f>
        <v>0</v>
      </c>
    </row>
    <row r="63" spans="4:20" ht="24.75" customHeight="1" x14ac:dyDescent="0.45">
      <c r="D63" s="8" t="s">
        <v>82</v>
      </c>
      <c r="E63" s="39"/>
      <c r="F63" s="86"/>
      <c r="G63" s="86"/>
      <c r="H63" s="86"/>
      <c r="I63" s="39"/>
      <c r="J63" s="86"/>
      <c r="K63" s="86"/>
      <c r="L63" s="86"/>
      <c r="M63" s="39">
        <f>IFERROR(Tabela13456[[#This Row],[X2]]-Tabela13456[[#This Row],[X1]],"Missing Data")</f>
        <v>0</v>
      </c>
      <c r="N63" s="39">
        <f>IFERROR(Tabela13456[[#This Row],[Y2]]-Tabela13456[[#This Row],[Y1]],"Missing Data")</f>
        <v>0</v>
      </c>
      <c r="O63" s="39">
        <f>IFERROR(Tabela13456[[#This Row],[Z2]]-Tabela13456[[#This Row],[Z1]],"Missing Data")</f>
        <v>0</v>
      </c>
    </row>
    <row r="64" spans="4:20" ht="24.75" customHeight="1" x14ac:dyDescent="0.45">
      <c r="D64" s="8" t="s">
        <v>83</v>
      </c>
      <c r="E64" s="39"/>
      <c r="F64" s="86"/>
      <c r="G64" s="86"/>
      <c r="H64" s="86"/>
      <c r="I64" s="39"/>
      <c r="J64" s="86"/>
      <c r="K64" s="86"/>
      <c r="L64" s="86"/>
      <c r="M64" s="39">
        <f>IFERROR(Tabela13456[[#This Row],[X2]]-Tabela13456[[#This Row],[X1]],"Missing Data")</f>
        <v>0</v>
      </c>
      <c r="N64" s="39">
        <f>IFERROR(Tabela13456[[#This Row],[Y2]]-Tabela13456[[#This Row],[Y1]],"Missing Data")</f>
        <v>0</v>
      </c>
      <c r="O64" s="39">
        <f>IFERROR(Tabela13456[[#This Row],[Z2]]-Tabela13456[[#This Row],[Z1]],"Missing Data")</f>
        <v>0</v>
      </c>
    </row>
    <row r="65" spans="4:20" ht="24.75" customHeight="1" x14ac:dyDescent="0.55000000000000004">
      <c r="D65" s="8" t="s">
        <v>84</v>
      </c>
      <c r="E65" s="39"/>
      <c r="F65" s="86"/>
      <c r="G65" s="86"/>
      <c r="H65" s="86"/>
      <c r="I65" s="39"/>
      <c r="J65" s="86"/>
      <c r="K65" s="86"/>
      <c r="L65" s="86"/>
      <c r="M65" s="39">
        <f>IFERROR(Tabela13456[[#This Row],[X2]]-Tabela13456[[#This Row],[X1]],"Missing Data")</f>
        <v>0</v>
      </c>
      <c r="N65" s="39">
        <f>IFERROR(Tabela13456[[#This Row],[Y2]]-Tabela13456[[#This Row],[Y1]],"Missing Data")</f>
        <v>0</v>
      </c>
      <c r="O65" s="39">
        <f>IFERROR(Tabela13456[[#This Row],[Z2]]-Tabela13456[[#This Row],[Z1]],"Missing Data")</f>
        <v>0</v>
      </c>
      <c r="P65" s="11" t="s">
        <v>85</v>
      </c>
    </row>
    <row r="66" spans="4:20" ht="24.75" customHeight="1" x14ac:dyDescent="0.45">
      <c r="D66" s="8" t="s">
        <v>86</v>
      </c>
      <c r="E66" s="39"/>
      <c r="F66" s="86"/>
      <c r="G66" s="86"/>
      <c r="H66" s="86"/>
      <c r="I66" s="39"/>
      <c r="J66" s="86"/>
      <c r="K66" s="86"/>
      <c r="L66" s="86"/>
      <c r="M66" s="39">
        <f>IFERROR(Tabela13456[[#This Row],[X2]]-Tabela13456[[#This Row],[X1]],"Missing Data")</f>
        <v>0</v>
      </c>
      <c r="N66" s="39">
        <f>IFERROR(Tabela13456[[#This Row],[Y2]]-Tabela13456[[#This Row],[Y1]],"Missing Data")</f>
        <v>0</v>
      </c>
      <c r="O66" s="39">
        <f>IFERROR(Tabela13456[[#This Row],[Z2]]-Tabela13456[[#This Row],[Z1]],"Missing Data")</f>
        <v>0</v>
      </c>
    </row>
    <row r="68" spans="4:20" s="2" customFormat="1" ht="32" customHeight="1" x14ac:dyDescent="0.45">
      <c r="D68" s="10" t="s">
        <v>378</v>
      </c>
      <c r="E68" s="7" t="s">
        <v>16</v>
      </c>
      <c r="F68" s="7" t="s">
        <v>17</v>
      </c>
      <c r="G68" s="7" t="s">
        <v>18</v>
      </c>
      <c r="H68" s="7" t="s">
        <v>19</v>
      </c>
      <c r="I68" s="3" t="s">
        <v>20</v>
      </c>
      <c r="J68" s="3" t="s">
        <v>21</v>
      </c>
      <c r="K68" s="3" t="s">
        <v>22</v>
      </c>
      <c r="L68" s="3" t="s">
        <v>23</v>
      </c>
      <c r="M68" s="4" t="s">
        <v>24</v>
      </c>
      <c r="N68" s="4" t="s">
        <v>25</v>
      </c>
      <c r="O68" s="4" t="s">
        <v>26</v>
      </c>
      <c r="Q68"/>
      <c r="R68"/>
      <c r="S68"/>
      <c r="T68"/>
    </row>
    <row r="69" spans="4:20" ht="24.75" customHeight="1" x14ac:dyDescent="0.45">
      <c r="D69" s="8" t="s">
        <v>71</v>
      </c>
      <c r="E69" s="39"/>
      <c r="F69" s="86"/>
      <c r="G69" s="86"/>
      <c r="H69" s="86"/>
      <c r="I69" s="39"/>
      <c r="J69" s="86"/>
      <c r="K69" s="86"/>
      <c r="L69" s="86"/>
      <c r="M69" s="39">
        <f>IFERROR(Tabela1345629[[#This Row],[X2]]-Tabela1345629[[#This Row],[X1]],"Missing Data")</f>
        <v>0</v>
      </c>
      <c r="N69" s="39">
        <f>IFERROR(Tabela1345629[[#This Row],[Y2]]-Tabela1345629[[#This Row],[Y1]],"Missing Data")</f>
        <v>0</v>
      </c>
      <c r="O69" s="39">
        <f>IFERROR(Tabela1345629[[#This Row],[Z2]]-Tabela1345629[[#This Row],[Z1]],"Missing Data")</f>
        <v>0</v>
      </c>
    </row>
    <row r="70" spans="4:20" ht="24.75" customHeight="1" x14ac:dyDescent="0.45">
      <c r="D70" s="8" t="s">
        <v>72</v>
      </c>
      <c r="E70" s="39"/>
      <c r="F70" s="86"/>
      <c r="G70" s="86"/>
      <c r="H70" s="86"/>
      <c r="I70" s="39"/>
      <c r="J70" s="86"/>
      <c r="K70" s="86"/>
      <c r="L70" s="86"/>
      <c r="M70" s="39">
        <f>IFERROR(Tabela1345629[[#This Row],[X2]]-Tabela1345629[[#This Row],[X1]],"Missing Data")</f>
        <v>0</v>
      </c>
      <c r="N70" s="39">
        <f>IFERROR(Tabela1345629[[#This Row],[Y2]]-Tabela1345629[[#This Row],[Y1]],"Missing Data")</f>
        <v>0</v>
      </c>
      <c r="O70" s="39">
        <f>IFERROR(Tabela1345629[[#This Row],[Z2]]-Tabela1345629[[#This Row],[Z1]],"Missing Data")</f>
        <v>0</v>
      </c>
    </row>
    <row r="71" spans="4:20" ht="24.75" customHeight="1" x14ac:dyDescent="0.45">
      <c r="D71" s="8" t="s">
        <v>73</v>
      </c>
      <c r="E71" s="39"/>
      <c r="F71" s="86"/>
      <c r="G71" s="86"/>
      <c r="H71" s="86"/>
      <c r="I71" s="39"/>
      <c r="J71" s="86"/>
      <c r="K71" s="86"/>
      <c r="L71" s="86"/>
      <c r="M71" s="39">
        <f>IFERROR(Tabela1345629[[#This Row],[X2]]-Tabela1345629[[#This Row],[X1]],"Missing Data")</f>
        <v>0</v>
      </c>
      <c r="N71" s="39">
        <f>IFERROR(Tabela1345629[[#This Row],[Y2]]-Tabela1345629[[#This Row],[Y1]],"Missing Data")</f>
        <v>0</v>
      </c>
      <c r="O71" s="39">
        <f>IFERROR(Tabela1345629[[#This Row],[Z2]]-Tabela1345629[[#This Row],[Z1]],"Missing Data")</f>
        <v>0</v>
      </c>
    </row>
    <row r="72" spans="4:20" ht="24.75" customHeight="1" x14ac:dyDescent="0.45">
      <c r="D72" s="8" t="s">
        <v>74</v>
      </c>
      <c r="E72" s="39"/>
      <c r="F72" s="86"/>
      <c r="G72" s="86"/>
      <c r="H72" s="86"/>
      <c r="I72" s="39"/>
      <c r="J72" s="86"/>
      <c r="K72" s="86"/>
      <c r="L72" s="86"/>
      <c r="M72" s="39">
        <f>IFERROR(Tabela1345629[[#This Row],[X2]]-Tabela1345629[[#This Row],[X1]],"Missing Data")</f>
        <v>0</v>
      </c>
      <c r="N72" s="39">
        <f>IFERROR(Tabela1345629[[#This Row],[Y2]]-Tabela1345629[[#This Row],[Y1]],"Missing Data")</f>
        <v>0</v>
      </c>
      <c r="O72" s="39">
        <f>IFERROR(Tabela1345629[[#This Row],[Z2]]-Tabela1345629[[#This Row],[Z1]],"Missing Data")</f>
        <v>0</v>
      </c>
    </row>
    <row r="73" spans="4:20" ht="24.75" customHeight="1" x14ac:dyDescent="0.45">
      <c r="D73" s="8" t="s">
        <v>221</v>
      </c>
      <c r="E73" s="39"/>
      <c r="F73" s="86"/>
      <c r="G73" s="86"/>
      <c r="H73" s="86"/>
      <c r="I73" s="39"/>
      <c r="J73" s="86"/>
      <c r="K73" s="86"/>
      <c r="L73" s="86"/>
      <c r="M73" s="39">
        <f>IFERROR(Tabela1345629[[#This Row],[X2]]-Tabela1345629[[#This Row],[X1]],"Missing Data")</f>
        <v>0</v>
      </c>
      <c r="N73" s="39">
        <f>IFERROR(Tabela1345629[[#This Row],[Y2]]-Tabela1345629[[#This Row],[Y1]],"Missing Data")</f>
        <v>0</v>
      </c>
      <c r="O73" s="39">
        <f>IFERROR(Tabela1345629[[#This Row],[Z2]]-Tabela1345629[[#This Row],[Z1]],"Missing Data")</f>
        <v>0</v>
      </c>
    </row>
    <row r="74" spans="4:20" ht="24.75" customHeight="1" x14ac:dyDescent="0.45">
      <c r="D74" s="8" t="s">
        <v>222</v>
      </c>
      <c r="E74" s="39"/>
      <c r="F74" s="86"/>
      <c r="G74" s="86"/>
      <c r="H74" s="86"/>
      <c r="I74" s="39"/>
      <c r="J74" s="86"/>
      <c r="K74" s="86"/>
      <c r="L74" s="86"/>
      <c r="M74" s="39">
        <f>IFERROR(Tabela1345629[[#This Row],[X2]]-Tabela1345629[[#This Row],[X1]],"Missing Data")</f>
        <v>0</v>
      </c>
      <c r="N74" s="39">
        <f>IFERROR(Tabela1345629[[#This Row],[Y2]]-Tabela1345629[[#This Row],[Y1]],"Missing Data")</f>
        <v>0</v>
      </c>
      <c r="O74" s="39">
        <f>IFERROR(Tabela1345629[[#This Row],[Z2]]-Tabela1345629[[#This Row],[Z1]],"Missing Data")</f>
        <v>0</v>
      </c>
    </row>
    <row r="75" spans="4:20" ht="24.75" customHeight="1" x14ac:dyDescent="0.45">
      <c r="D75" s="8" t="s">
        <v>75</v>
      </c>
      <c r="E75" s="39"/>
      <c r="F75" s="86"/>
      <c r="G75" s="86"/>
      <c r="H75" s="86"/>
      <c r="I75" s="39"/>
      <c r="J75" s="86"/>
      <c r="K75" s="86"/>
      <c r="L75" s="86"/>
      <c r="M75" s="39">
        <f>IFERROR(Tabela1345629[[#This Row],[X2]]-Tabela1345629[[#This Row],[X1]],"Missing Data")</f>
        <v>0</v>
      </c>
      <c r="N75" s="39">
        <f>IFERROR(Tabela1345629[[#This Row],[Y2]]-Tabela1345629[[#This Row],[Y1]],"Missing Data")</f>
        <v>0</v>
      </c>
      <c r="O75" s="39">
        <f>IFERROR(Tabela1345629[[#This Row],[Z2]]-Tabela1345629[[#This Row],[Z1]],"Missing Data")</f>
        <v>0</v>
      </c>
    </row>
    <row r="76" spans="4:20" ht="24.75" customHeight="1" x14ac:dyDescent="0.45">
      <c r="D76" s="8" t="s">
        <v>76</v>
      </c>
      <c r="E76" s="39"/>
      <c r="F76" s="86"/>
      <c r="G76" s="86"/>
      <c r="H76" s="86"/>
      <c r="I76" s="39"/>
      <c r="J76" s="86"/>
      <c r="K76" s="86"/>
      <c r="L76" s="86"/>
      <c r="M76" s="39">
        <f>IFERROR(Tabela1345629[[#This Row],[X2]]-Tabela1345629[[#This Row],[X1]],"Missing Data")</f>
        <v>0</v>
      </c>
      <c r="N76" s="39">
        <f>IFERROR(Tabela1345629[[#This Row],[Y2]]-Tabela1345629[[#This Row],[Y1]],"Missing Data")</f>
        <v>0</v>
      </c>
      <c r="O76" s="39">
        <f>IFERROR(Tabela1345629[[#This Row],[Z2]]-Tabela1345629[[#This Row],[Z1]],"Missing Data")</f>
        <v>0</v>
      </c>
    </row>
    <row r="77" spans="4:20" ht="24.75" customHeight="1" x14ac:dyDescent="0.45">
      <c r="D77" s="8" t="s">
        <v>77</v>
      </c>
      <c r="E77" s="39"/>
      <c r="F77" s="86"/>
      <c r="G77" s="86"/>
      <c r="H77" s="86"/>
      <c r="I77" s="39"/>
      <c r="J77" s="86"/>
      <c r="K77" s="86"/>
      <c r="L77" s="86"/>
      <c r="M77" s="39">
        <f>IFERROR(Tabela1345629[[#This Row],[X2]]-Tabela1345629[[#This Row],[X1]],"Missing Data")</f>
        <v>0</v>
      </c>
      <c r="N77" s="39">
        <f>IFERROR(Tabela1345629[[#This Row],[Y2]]-Tabela1345629[[#This Row],[Y1]],"Missing Data")</f>
        <v>0</v>
      </c>
      <c r="O77" s="39">
        <f>IFERROR(Tabela1345629[[#This Row],[Z2]]-Tabela1345629[[#This Row],[Z1]],"Missing Data")</f>
        <v>0</v>
      </c>
    </row>
    <row r="78" spans="4:20" ht="24.75" customHeight="1" x14ac:dyDescent="0.45">
      <c r="D78" s="8" t="s">
        <v>78</v>
      </c>
      <c r="E78" s="39"/>
      <c r="F78" s="86"/>
      <c r="G78" s="86"/>
      <c r="H78" s="86"/>
      <c r="I78" s="39"/>
      <c r="J78" s="86"/>
      <c r="K78" s="86"/>
      <c r="L78" s="86"/>
      <c r="M78" s="39">
        <f>IFERROR(Tabela1345629[[#This Row],[X2]]-Tabela1345629[[#This Row],[X1]],"Missing Data")</f>
        <v>0</v>
      </c>
      <c r="N78" s="39">
        <f>IFERROR(Tabela1345629[[#This Row],[Y2]]-Tabela1345629[[#This Row],[Y1]],"Missing Data")</f>
        <v>0</v>
      </c>
      <c r="O78" s="39">
        <f>IFERROR(Tabela1345629[[#This Row],[Z2]]-Tabela1345629[[#This Row],[Z1]],"Missing Data")</f>
        <v>0</v>
      </c>
    </row>
    <row r="79" spans="4:20" ht="24.75" customHeight="1" x14ac:dyDescent="0.45">
      <c r="D79" s="8" t="s">
        <v>79</v>
      </c>
      <c r="E79" s="39"/>
      <c r="F79" s="86"/>
      <c r="G79" s="86"/>
      <c r="H79" s="86"/>
      <c r="I79" s="39"/>
      <c r="J79" s="86"/>
      <c r="K79" s="86"/>
      <c r="L79" s="86"/>
      <c r="M79" s="39">
        <f>IFERROR(Tabela1345629[[#This Row],[X2]]-Tabela1345629[[#This Row],[X1]],"Missing Data")</f>
        <v>0</v>
      </c>
      <c r="N79" s="39">
        <f>IFERROR(Tabela1345629[[#This Row],[Y2]]-Tabela1345629[[#This Row],[Y1]],"Missing Data")</f>
        <v>0</v>
      </c>
      <c r="O79" s="39">
        <f>IFERROR(Tabela1345629[[#This Row],[Z2]]-Tabela1345629[[#This Row],[Z1]],"Missing Data")</f>
        <v>0</v>
      </c>
    </row>
    <row r="80" spans="4:20" ht="24.75" customHeight="1" x14ac:dyDescent="0.45">
      <c r="D80" s="8" t="s">
        <v>80</v>
      </c>
      <c r="E80" s="39"/>
      <c r="F80" s="86"/>
      <c r="G80" s="86"/>
      <c r="H80" s="86"/>
      <c r="I80" s="39"/>
      <c r="J80" s="86"/>
      <c r="K80" s="86"/>
      <c r="L80" s="86"/>
      <c r="M80" s="39">
        <f>IFERROR(Tabela1345629[[#This Row],[X2]]-Tabela1345629[[#This Row],[X1]],"Missing Data")</f>
        <v>0</v>
      </c>
      <c r="N80" s="39">
        <f>IFERROR(Tabela1345629[[#This Row],[Y2]]-Tabela1345629[[#This Row],[Y1]],"Missing Data")</f>
        <v>0</v>
      </c>
      <c r="O80" s="39">
        <f>IFERROR(Tabela1345629[[#This Row],[Z2]]-Tabela1345629[[#This Row],[Z1]],"Missing Data")</f>
        <v>0</v>
      </c>
    </row>
    <row r="81" spans="4:16" ht="24.75" customHeight="1" x14ac:dyDescent="0.45">
      <c r="D81" s="8" t="s">
        <v>81</v>
      </c>
      <c r="E81" s="39"/>
      <c r="F81" s="86"/>
      <c r="G81" s="86"/>
      <c r="H81" s="86"/>
      <c r="I81" s="39"/>
      <c r="J81" s="86"/>
      <c r="K81" s="86"/>
      <c r="L81" s="86"/>
      <c r="M81" s="39">
        <f>IFERROR(Tabela1345629[[#This Row],[X2]]-Tabela1345629[[#This Row],[X1]],"Missing Data")</f>
        <v>0</v>
      </c>
      <c r="N81" s="39">
        <f>IFERROR(Tabela1345629[[#This Row],[Y2]]-Tabela1345629[[#This Row],[Y1]],"Missing Data")</f>
        <v>0</v>
      </c>
      <c r="O81" s="39">
        <f>IFERROR(Tabela1345629[[#This Row],[Z2]]-Tabela1345629[[#This Row],[Z1]],"Missing Data")</f>
        <v>0</v>
      </c>
    </row>
    <row r="82" spans="4:16" ht="24.75" customHeight="1" x14ac:dyDescent="0.45">
      <c r="D82" s="8" t="s">
        <v>223</v>
      </c>
      <c r="E82" s="39"/>
      <c r="F82" s="86"/>
      <c r="G82" s="86"/>
      <c r="H82" s="86"/>
      <c r="I82" s="39"/>
      <c r="J82" s="86"/>
      <c r="K82" s="86"/>
      <c r="L82" s="86"/>
      <c r="M82" s="39">
        <f>IFERROR(Tabela1345629[[#This Row],[X2]]-Tabela1345629[[#This Row],[X1]],"Missing Data")</f>
        <v>0</v>
      </c>
      <c r="N82" s="39">
        <f>IFERROR(Tabela1345629[[#This Row],[Y2]]-Tabela1345629[[#This Row],[Y1]],"Missing Data")</f>
        <v>0</v>
      </c>
      <c r="O82" s="39">
        <f>IFERROR(Tabela1345629[[#This Row],[Z2]]-Tabela1345629[[#This Row],[Z1]],"Missing Data")</f>
        <v>0</v>
      </c>
    </row>
    <row r="83" spans="4:16" ht="24.75" customHeight="1" x14ac:dyDescent="0.45">
      <c r="D83" s="8" t="s">
        <v>224</v>
      </c>
      <c r="E83" s="39"/>
      <c r="F83" s="86"/>
      <c r="G83" s="86"/>
      <c r="H83" s="86"/>
      <c r="I83" s="39"/>
      <c r="J83" s="86"/>
      <c r="K83" s="86"/>
      <c r="L83" s="86"/>
      <c r="M83" s="39">
        <f>IFERROR(Tabela1345629[[#This Row],[X2]]-Tabela1345629[[#This Row],[X1]],"Missing Data")</f>
        <v>0</v>
      </c>
      <c r="N83" s="39">
        <f>IFERROR(Tabela1345629[[#This Row],[Y2]]-Tabela1345629[[#This Row],[Y1]],"Missing Data")</f>
        <v>0</v>
      </c>
      <c r="O83" s="39">
        <f>IFERROR(Tabela1345629[[#This Row],[Z2]]-Tabela1345629[[#This Row],[Z1]],"Missing Data")</f>
        <v>0</v>
      </c>
    </row>
    <row r="84" spans="4:16" ht="24.75" customHeight="1" x14ac:dyDescent="0.45">
      <c r="D84" s="8" t="s">
        <v>225</v>
      </c>
      <c r="E84" s="39"/>
      <c r="F84" s="86"/>
      <c r="G84" s="86"/>
      <c r="H84" s="86"/>
      <c r="I84" s="39"/>
      <c r="J84" s="86"/>
      <c r="K84" s="86"/>
      <c r="L84" s="86"/>
      <c r="M84" s="39">
        <f>IFERROR(Tabela1345629[[#This Row],[X2]]-Tabela1345629[[#This Row],[X1]],"Missing Data")</f>
        <v>0</v>
      </c>
      <c r="N84" s="39">
        <f>IFERROR(Tabela1345629[[#This Row],[Y2]]-Tabela1345629[[#This Row],[Y1]],"Missing Data")</f>
        <v>0</v>
      </c>
      <c r="O84" s="39">
        <f>IFERROR(Tabela1345629[[#This Row],[Z2]]-Tabela1345629[[#This Row],[Z1]],"Missing Data")</f>
        <v>0</v>
      </c>
    </row>
    <row r="85" spans="4:16" ht="24.75" customHeight="1" x14ac:dyDescent="0.45">
      <c r="D85" s="8" t="s">
        <v>226</v>
      </c>
      <c r="E85" s="39"/>
      <c r="F85" s="86"/>
      <c r="G85" s="86"/>
      <c r="H85" s="86"/>
      <c r="I85" s="39"/>
      <c r="J85" s="86"/>
      <c r="K85" s="86"/>
      <c r="L85" s="86"/>
      <c r="M85" s="39">
        <f>IFERROR(Tabela1345629[[#This Row],[X2]]-Tabela1345629[[#This Row],[X1]],"Missing Data")</f>
        <v>0</v>
      </c>
      <c r="N85" s="39">
        <f>IFERROR(Tabela1345629[[#This Row],[Y2]]-Tabela1345629[[#This Row],[Y1]],"Missing Data")</f>
        <v>0</v>
      </c>
      <c r="O85" s="39">
        <f>IFERROR(Tabela1345629[[#This Row],[Z2]]-Tabela1345629[[#This Row],[Z1]],"Missing Data")</f>
        <v>0</v>
      </c>
    </row>
    <row r="86" spans="4:16" ht="24.75" customHeight="1" x14ac:dyDescent="0.45">
      <c r="D86" s="8" t="s">
        <v>227</v>
      </c>
      <c r="E86" s="39"/>
      <c r="F86" s="86"/>
      <c r="G86" s="86"/>
      <c r="H86" s="86"/>
      <c r="I86" s="39"/>
      <c r="J86" s="86"/>
      <c r="K86" s="86"/>
      <c r="L86" s="86"/>
      <c r="M86" s="39">
        <f>IFERROR(Tabela1345629[[#This Row],[X2]]-Tabela1345629[[#This Row],[X1]],"Missing Data")</f>
        <v>0</v>
      </c>
      <c r="N86" s="39">
        <f>IFERROR(Tabela1345629[[#This Row],[Y2]]-Tabela1345629[[#This Row],[Y1]],"Missing Data")</f>
        <v>0</v>
      </c>
      <c r="O86" s="39">
        <f>IFERROR(Tabela1345629[[#This Row],[Z2]]-Tabela1345629[[#This Row],[Z1]],"Missing Data")</f>
        <v>0</v>
      </c>
    </row>
    <row r="87" spans="4:16" ht="24.75" customHeight="1" x14ac:dyDescent="0.45">
      <c r="D87" s="8" t="s">
        <v>228</v>
      </c>
      <c r="E87" s="39"/>
      <c r="F87" s="86"/>
      <c r="G87" s="86"/>
      <c r="H87" s="86"/>
      <c r="I87" s="39"/>
      <c r="J87" s="86"/>
      <c r="K87" s="86"/>
      <c r="L87" s="86"/>
      <c r="M87" s="39">
        <f>IFERROR(Tabela1345629[[#This Row],[X2]]-Tabela1345629[[#This Row],[X1]],"Missing Data")</f>
        <v>0</v>
      </c>
      <c r="N87" s="39">
        <f>IFERROR(Tabela1345629[[#This Row],[Y2]]-Tabela1345629[[#This Row],[Y1]],"Missing Data")</f>
        <v>0</v>
      </c>
      <c r="O87" s="39">
        <f>IFERROR(Tabela1345629[[#This Row],[Z2]]-Tabela1345629[[#This Row],[Z1]],"Missing Data")</f>
        <v>0</v>
      </c>
    </row>
    <row r="88" spans="4:16" ht="24.75" customHeight="1" x14ac:dyDescent="0.45">
      <c r="D88" s="8" t="s">
        <v>229</v>
      </c>
      <c r="E88" s="39"/>
      <c r="F88" s="86"/>
      <c r="G88" s="86"/>
      <c r="H88" s="86"/>
      <c r="I88" s="39"/>
      <c r="J88" s="86"/>
      <c r="K88" s="86"/>
      <c r="L88" s="86"/>
      <c r="M88" s="39">
        <f>IFERROR(Tabela1345629[[#This Row],[X2]]-Tabela1345629[[#This Row],[X1]],"Missing Data")</f>
        <v>0</v>
      </c>
      <c r="N88" s="39">
        <f>IFERROR(Tabela1345629[[#This Row],[Y2]]-Tabela1345629[[#This Row],[Y1]],"Missing Data")</f>
        <v>0</v>
      </c>
      <c r="O88" s="39">
        <f>IFERROR(Tabela1345629[[#This Row],[Z2]]-Tabela1345629[[#This Row],[Z1]],"Missing Data")</f>
        <v>0</v>
      </c>
    </row>
    <row r="89" spans="4:16" ht="24.75" customHeight="1" x14ac:dyDescent="0.45">
      <c r="D89" s="8" t="s">
        <v>230</v>
      </c>
      <c r="E89" s="39"/>
      <c r="F89" s="86"/>
      <c r="G89" s="86"/>
      <c r="H89" s="86"/>
      <c r="I89" s="39"/>
      <c r="J89" s="86"/>
      <c r="K89" s="86"/>
      <c r="L89" s="86"/>
      <c r="M89" s="39">
        <f>IFERROR(Tabela1345629[[#This Row],[X2]]-Tabela1345629[[#This Row],[X1]],"Missing Data")</f>
        <v>0</v>
      </c>
      <c r="N89" s="39">
        <f>IFERROR(Tabela1345629[[#This Row],[Y2]]-Tabela1345629[[#This Row],[Y1]],"Missing Data")</f>
        <v>0</v>
      </c>
      <c r="O89" s="39">
        <f>IFERROR(Tabela1345629[[#This Row],[Z2]]-Tabela1345629[[#This Row],[Z1]],"Missing Data")</f>
        <v>0</v>
      </c>
    </row>
    <row r="90" spans="4:16" ht="24.75" customHeight="1" x14ac:dyDescent="0.45">
      <c r="D90" s="8" t="s">
        <v>231</v>
      </c>
      <c r="E90" s="39"/>
      <c r="F90" s="86"/>
      <c r="G90" s="86"/>
      <c r="H90" s="86"/>
      <c r="I90" s="39"/>
      <c r="J90" s="86"/>
      <c r="K90" s="86"/>
      <c r="L90" s="86"/>
      <c r="M90" s="39">
        <f>IFERROR(Tabela1345629[[#This Row],[X2]]-Tabela1345629[[#This Row],[X1]],"Missing Data")</f>
        <v>0</v>
      </c>
      <c r="N90" s="39">
        <f>IFERROR(Tabela1345629[[#This Row],[Y2]]-Tabela1345629[[#This Row],[Y1]],"Missing Data")</f>
        <v>0</v>
      </c>
      <c r="O90" s="39">
        <f>IFERROR(Tabela1345629[[#This Row],[Z2]]-Tabela1345629[[#This Row],[Z1]],"Missing Data")</f>
        <v>0</v>
      </c>
    </row>
    <row r="91" spans="4:16" ht="24.75" customHeight="1" x14ac:dyDescent="0.45">
      <c r="D91" s="8" t="s">
        <v>232</v>
      </c>
      <c r="E91" s="39"/>
      <c r="F91" s="86"/>
      <c r="G91" s="86"/>
      <c r="H91" s="86"/>
      <c r="I91" s="39"/>
      <c r="J91" s="86"/>
      <c r="K91" s="86"/>
      <c r="L91" s="86"/>
      <c r="M91" s="39">
        <f>IFERROR(Tabela1345629[[#This Row],[X2]]-Tabela1345629[[#This Row],[X1]],"Missing Data")</f>
        <v>0</v>
      </c>
      <c r="N91" s="39">
        <f>IFERROR(Tabela1345629[[#This Row],[Y2]]-Tabela1345629[[#This Row],[Y1]],"Missing Data")</f>
        <v>0</v>
      </c>
      <c r="O91" s="39">
        <f>IFERROR(Tabela1345629[[#This Row],[Z2]]-Tabela1345629[[#This Row],[Z1]],"Missing Data")</f>
        <v>0</v>
      </c>
    </row>
    <row r="92" spans="4:16" ht="24.75" customHeight="1" x14ac:dyDescent="0.45">
      <c r="D92" s="8" t="s">
        <v>233</v>
      </c>
      <c r="E92" s="39"/>
      <c r="F92" s="86"/>
      <c r="G92" s="86"/>
      <c r="H92" s="86"/>
      <c r="I92" s="39"/>
      <c r="J92" s="86"/>
      <c r="K92" s="86"/>
      <c r="L92" s="86"/>
      <c r="M92" s="39">
        <f>IFERROR(Tabela1345629[[#This Row],[X2]]-Tabela1345629[[#This Row],[X1]],"Missing Data")</f>
        <v>0</v>
      </c>
      <c r="N92" s="39">
        <f>IFERROR(Tabela1345629[[#This Row],[Y2]]-Tabela1345629[[#This Row],[Y1]],"Missing Data")</f>
        <v>0</v>
      </c>
      <c r="O92" s="39">
        <f>IFERROR(Tabela1345629[[#This Row],[Z2]]-Tabela1345629[[#This Row],[Z1]],"Missing Data")</f>
        <v>0</v>
      </c>
    </row>
    <row r="93" spans="4:16" ht="24.75" customHeight="1" x14ac:dyDescent="0.45">
      <c r="D93" s="8" t="s">
        <v>82</v>
      </c>
      <c r="E93" s="39"/>
      <c r="F93" s="86"/>
      <c r="G93" s="86"/>
      <c r="H93" s="86"/>
      <c r="I93" s="39"/>
      <c r="J93" s="86"/>
      <c r="K93" s="86"/>
      <c r="L93" s="86"/>
      <c r="M93" s="39">
        <f>IFERROR(Tabela1345629[[#This Row],[X2]]-Tabela1345629[[#This Row],[X1]],"Missing Data")</f>
        <v>0</v>
      </c>
      <c r="N93" s="39">
        <f>IFERROR(Tabela1345629[[#This Row],[Y2]]-Tabela1345629[[#This Row],[Y1]],"Missing Data")</f>
        <v>0</v>
      </c>
      <c r="O93" s="39">
        <f>IFERROR(Tabela1345629[[#This Row],[Z2]]-Tabela1345629[[#This Row],[Z1]],"Missing Data")</f>
        <v>0</v>
      </c>
    </row>
    <row r="94" spans="4:16" ht="24.75" customHeight="1" x14ac:dyDescent="0.45">
      <c r="D94" s="8" t="s">
        <v>83</v>
      </c>
      <c r="E94" s="39"/>
      <c r="F94" s="86"/>
      <c r="G94" s="86"/>
      <c r="H94" s="86"/>
      <c r="I94" s="39"/>
      <c r="J94" s="86"/>
      <c r="K94" s="86"/>
      <c r="L94" s="86"/>
      <c r="M94" s="39">
        <f>IFERROR(Tabela1345629[[#This Row],[X2]]-Tabela1345629[[#This Row],[X1]],"Missing Data")</f>
        <v>0</v>
      </c>
      <c r="N94" s="39">
        <f>IFERROR(Tabela1345629[[#This Row],[Y2]]-Tabela1345629[[#This Row],[Y1]],"Missing Data")</f>
        <v>0</v>
      </c>
      <c r="O94" s="39">
        <f>IFERROR(Tabela1345629[[#This Row],[Z2]]-Tabela1345629[[#This Row],[Z1]],"Missing Data")</f>
        <v>0</v>
      </c>
    </row>
    <row r="95" spans="4:16" ht="24.75" customHeight="1" x14ac:dyDescent="0.55000000000000004">
      <c r="D95" s="8" t="s">
        <v>84</v>
      </c>
      <c r="E95" s="39"/>
      <c r="F95" s="86"/>
      <c r="G95" s="86"/>
      <c r="H95" s="86"/>
      <c r="I95" s="39"/>
      <c r="J95" s="86"/>
      <c r="K95" s="86"/>
      <c r="L95" s="86"/>
      <c r="M95" s="39">
        <f>IFERROR(Tabela1345629[[#This Row],[X2]]-Tabela1345629[[#This Row],[X1]],"Missing Data")</f>
        <v>0</v>
      </c>
      <c r="N95" s="39">
        <f>IFERROR(Tabela1345629[[#This Row],[Y2]]-Tabela1345629[[#This Row],[Y1]],"Missing Data")</f>
        <v>0</v>
      </c>
      <c r="O95" s="39">
        <f>IFERROR(Tabela1345629[[#This Row],[Z2]]-Tabela1345629[[#This Row],[Z1]],"Missing Data")</f>
        <v>0</v>
      </c>
      <c r="P95" s="11" t="s">
        <v>85</v>
      </c>
    </row>
    <row r="96" spans="4:16" ht="24.75" customHeight="1" x14ac:dyDescent="0.45">
      <c r="D96" s="8" t="s">
        <v>86</v>
      </c>
      <c r="E96" s="39"/>
      <c r="F96" s="86"/>
      <c r="G96" s="86"/>
      <c r="H96" s="86"/>
      <c r="I96" s="39"/>
      <c r="J96" s="86"/>
      <c r="K96" s="86"/>
      <c r="L96" s="86"/>
      <c r="M96" s="39">
        <f>IFERROR(Tabela1345629[[#This Row],[X2]]-Tabela1345629[[#This Row],[X1]],"Missing Data")</f>
        <v>0</v>
      </c>
      <c r="N96" s="39">
        <f>IFERROR(Tabela1345629[[#This Row],[Y2]]-Tabela1345629[[#This Row],[Y1]],"Missing Data")</f>
        <v>0</v>
      </c>
      <c r="O96" s="39">
        <f>IFERROR(Tabela1345629[[#This Row],[Z2]]-Tabela1345629[[#This Row],[Z1]],"Missing Data")</f>
        <v>0</v>
      </c>
    </row>
    <row r="98" spans="4:20" s="2" customFormat="1" ht="32" customHeight="1" x14ac:dyDescent="0.45">
      <c r="D98" s="10" t="s">
        <v>87</v>
      </c>
      <c r="E98" s="7" t="s">
        <v>16</v>
      </c>
      <c r="F98" s="7" t="s">
        <v>17</v>
      </c>
      <c r="G98" s="7" t="s">
        <v>18</v>
      </c>
      <c r="H98" s="7" t="s">
        <v>19</v>
      </c>
      <c r="I98" s="3" t="s">
        <v>20</v>
      </c>
      <c r="J98" s="3" t="s">
        <v>21</v>
      </c>
      <c r="K98" s="3" t="s">
        <v>22</v>
      </c>
      <c r="L98" s="3" t="s">
        <v>23</v>
      </c>
      <c r="M98" s="4" t="s">
        <v>24</v>
      </c>
      <c r="N98" s="4" t="s">
        <v>25</v>
      </c>
      <c r="O98" s="4" t="s">
        <v>26</v>
      </c>
      <c r="Q98"/>
      <c r="R98"/>
      <c r="S98"/>
      <c r="T98"/>
    </row>
    <row r="99" spans="4:20" ht="24.75" customHeight="1" x14ac:dyDescent="0.45">
      <c r="D99" s="8" t="s">
        <v>88</v>
      </c>
      <c r="E99" s="39"/>
      <c r="F99" s="86"/>
      <c r="G99" s="86"/>
      <c r="H99" s="86"/>
      <c r="I99" s="39"/>
      <c r="J99" s="86"/>
      <c r="K99" s="86"/>
      <c r="L99" s="86"/>
      <c r="M99" s="39">
        <f>IFERROR(Tabela134567[[#This Row],[X2]]-Tabela134567[[#This Row],[X1]],"Missing Data")</f>
        <v>0</v>
      </c>
      <c r="N99" s="39">
        <f>IFERROR(Tabela134567[[#This Row],[Y2]]-Tabela134567[[#This Row],[Y1]],"Missing Data")</f>
        <v>0</v>
      </c>
      <c r="O99" s="39">
        <f>IFERROR(Tabela134567[[#This Row],[Z2]]-Tabela134567[[#This Row],[Z1]],"Missing Data")</f>
        <v>0</v>
      </c>
    </row>
    <row r="100" spans="4:20" ht="24.75" customHeight="1" x14ac:dyDescent="0.45">
      <c r="D100" s="8" t="s">
        <v>89</v>
      </c>
      <c r="E100" s="39"/>
      <c r="F100" s="86"/>
      <c r="G100" s="86"/>
      <c r="H100" s="86"/>
      <c r="I100" s="39"/>
      <c r="J100" s="86"/>
      <c r="K100" s="86"/>
      <c r="L100" s="86"/>
      <c r="M100" s="39">
        <f>IFERROR(Tabela134567[[#This Row],[X2]]-Tabela134567[[#This Row],[X1]],"Missing Data")</f>
        <v>0</v>
      </c>
      <c r="N100" s="39">
        <f>IFERROR(Tabela134567[[#This Row],[Y2]]-Tabela134567[[#This Row],[Y1]],"Missing Data")</f>
        <v>0</v>
      </c>
      <c r="O100" s="39">
        <f>IFERROR(Tabela134567[[#This Row],[Z2]]-Tabela134567[[#This Row],[Z1]],"Missing Data")</f>
        <v>0</v>
      </c>
    </row>
    <row r="101" spans="4:20" ht="24.75" customHeight="1" x14ac:dyDescent="0.45">
      <c r="D101" s="8" t="s">
        <v>90</v>
      </c>
      <c r="E101" s="39"/>
      <c r="F101" s="86"/>
      <c r="G101" s="86"/>
      <c r="H101" s="86"/>
      <c r="I101" s="39"/>
      <c r="J101" s="86"/>
      <c r="K101" s="86"/>
      <c r="L101" s="86"/>
      <c r="M101" s="39">
        <f>IFERROR(Tabela134567[[#This Row],[X2]]-Tabela134567[[#This Row],[X1]],"Missing Data")</f>
        <v>0</v>
      </c>
      <c r="N101" s="39">
        <f>IFERROR(Tabela134567[[#This Row],[Y2]]-Tabela134567[[#This Row],[Y1]],"Missing Data")</f>
        <v>0</v>
      </c>
      <c r="O101" s="39">
        <f>IFERROR(Tabela134567[[#This Row],[Z2]]-Tabela134567[[#This Row],[Z1]],"Missing Data")</f>
        <v>0</v>
      </c>
    </row>
    <row r="102" spans="4:20" ht="24.75" customHeight="1" x14ac:dyDescent="0.45">
      <c r="D102" s="8" t="s">
        <v>91</v>
      </c>
      <c r="E102" s="39"/>
      <c r="F102" s="86"/>
      <c r="G102" s="86"/>
      <c r="H102" s="86"/>
      <c r="I102" s="39"/>
      <c r="J102" s="86"/>
      <c r="K102" s="86"/>
      <c r="L102" s="86"/>
      <c r="M102" s="39">
        <f>IFERROR(Tabela134567[[#This Row],[X2]]-Tabela134567[[#This Row],[X1]],"Missing Data")</f>
        <v>0</v>
      </c>
      <c r="N102" s="39">
        <f>IFERROR(Tabela134567[[#This Row],[Y2]]-Tabela134567[[#This Row],[Y1]],"Missing Data")</f>
        <v>0</v>
      </c>
      <c r="O102" s="39">
        <f>IFERROR(Tabela134567[[#This Row],[Z2]]-Tabela134567[[#This Row],[Z1]],"Missing Data")</f>
        <v>0</v>
      </c>
    </row>
    <row r="103" spans="4:20" ht="24.75" customHeight="1" x14ac:dyDescent="0.45">
      <c r="D103" s="8" t="s">
        <v>92</v>
      </c>
      <c r="E103" s="39"/>
      <c r="F103" s="86"/>
      <c r="G103" s="86"/>
      <c r="H103" s="86"/>
      <c r="I103" s="39"/>
      <c r="J103" s="86"/>
      <c r="K103" s="86"/>
      <c r="L103" s="86"/>
      <c r="M103" s="39">
        <f>IFERROR(Tabela134567[[#This Row],[X2]]-Tabela134567[[#This Row],[X1]],"Missing Data")</f>
        <v>0</v>
      </c>
      <c r="N103" s="39">
        <f>IFERROR(Tabela134567[[#This Row],[Y2]]-Tabela134567[[#This Row],[Y1]],"Missing Data")</f>
        <v>0</v>
      </c>
      <c r="O103" s="39">
        <f>IFERROR(Tabela134567[[#This Row],[Z2]]-Tabela134567[[#This Row],[Z1]],"Missing Data")</f>
        <v>0</v>
      </c>
    </row>
    <row r="104" spans="4:20" ht="24.75" customHeight="1" x14ac:dyDescent="0.45">
      <c r="D104" s="8" t="s">
        <v>234</v>
      </c>
      <c r="E104" s="39"/>
      <c r="F104" s="86"/>
      <c r="G104" s="86"/>
      <c r="H104" s="86"/>
      <c r="I104" s="39"/>
      <c r="J104" s="86"/>
      <c r="K104" s="86"/>
      <c r="L104" s="86"/>
      <c r="M104" s="39">
        <f>IFERROR(Tabela134567[[#This Row],[X2]]-Tabela134567[[#This Row],[X1]],"Missing Data")</f>
        <v>0</v>
      </c>
      <c r="N104" s="39">
        <f>IFERROR(Tabela134567[[#This Row],[Y2]]-Tabela134567[[#This Row],[Y1]],"Missing Data")</f>
        <v>0</v>
      </c>
      <c r="O104" s="39">
        <f>IFERROR(Tabela134567[[#This Row],[Z2]]-Tabela134567[[#This Row],[Z1]],"Missing Data")</f>
        <v>0</v>
      </c>
    </row>
    <row r="105" spans="4:20" ht="24.75" customHeight="1" x14ac:dyDescent="0.45">
      <c r="D105" s="8" t="s">
        <v>93</v>
      </c>
      <c r="E105" s="39"/>
      <c r="F105" s="86"/>
      <c r="G105" s="86"/>
      <c r="H105" s="86"/>
      <c r="I105" s="39"/>
      <c r="J105" s="86"/>
      <c r="K105" s="86"/>
      <c r="L105" s="86"/>
      <c r="M105" s="39">
        <f>IFERROR(Tabela134567[[#This Row],[X2]]-Tabela134567[[#This Row],[X1]],"Missing Data")</f>
        <v>0</v>
      </c>
      <c r="N105" s="39">
        <f>IFERROR(Tabela134567[[#This Row],[Y2]]-Tabela134567[[#This Row],[Y1]],"Missing Data")</f>
        <v>0</v>
      </c>
      <c r="O105" s="39">
        <f>IFERROR(Tabela134567[[#This Row],[Z2]]-Tabela134567[[#This Row],[Z1]],"Missing Data")</f>
        <v>0</v>
      </c>
    </row>
    <row r="106" spans="4:20" ht="24.75" customHeight="1" x14ac:dyDescent="0.45">
      <c r="D106" s="8" t="s">
        <v>94</v>
      </c>
      <c r="E106" s="39"/>
      <c r="F106" s="86"/>
      <c r="G106" s="86"/>
      <c r="H106" s="86"/>
      <c r="I106" s="39"/>
      <c r="J106" s="86"/>
      <c r="K106" s="86"/>
      <c r="L106" s="86"/>
      <c r="M106" s="39">
        <f>IFERROR(Tabela134567[[#This Row],[X2]]-Tabela134567[[#This Row],[X1]],"Missing Data")</f>
        <v>0</v>
      </c>
      <c r="N106" s="39">
        <f>IFERROR(Tabela134567[[#This Row],[Y2]]-Tabela134567[[#This Row],[Y1]],"Missing Data")</f>
        <v>0</v>
      </c>
      <c r="O106" s="39">
        <f>IFERROR(Tabela134567[[#This Row],[Z2]]-Tabela134567[[#This Row],[Z1]],"Missing Data")</f>
        <v>0</v>
      </c>
    </row>
    <row r="107" spans="4:20" ht="24.75" customHeight="1" x14ac:dyDescent="0.45">
      <c r="D107" s="8" t="s">
        <v>95</v>
      </c>
      <c r="E107" s="39"/>
      <c r="F107" s="86"/>
      <c r="G107" s="86"/>
      <c r="H107" s="86"/>
      <c r="I107" s="39"/>
      <c r="J107" s="86"/>
      <c r="K107" s="86"/>
      <c r="L107" s="86"/>
      <c r="M107" s="39">
        <f>IFERROR(Tabela134567[[#This Row],[X2]]-Tabela134567[[#This Row],[X1]],"Missing Data")</f>
        <v>0</v>
      </c>
      <c r="N107" s="39">
        <f>IFERROR(Tabela134567[[#This Row],[Y2]]-Tabela134567[[#This Row],[Y1]],"Missing Data")</f>
        <v>0</v>
      </c>
      <c r="O107" s="39">
        <f>IFERROR(Tabela134567[[#This Row],[Z2]]-Tabela134567[[#This Row],[Z1]],"Missing Data")</f>
        <v>0</v>
      </c>
    </row>
    <row r="108" spans="4:20" ht="24.75" customHeight="1" x14ac:dyDescent="0.45">
      <c r="D108" s="8" t="s">
        <v>96</v>
      </c>
      <c r="E108" s="39"/>
      <c r="F108" s="86"/>
      <c r="G108" s="86"/>
      <c r="H108" s="86"/>
      <c r="I108" s="39"/>
      <c r="J108" s="86"/>
      <c r="K108" s="86"/>
      <c r="L108" s="86"/>
      <c r="M108" s="39">
        <f>IFERROR(Tabela134567[[#This Row],[X2]]-Tabela134567[[#This Row],[X1]],"Missing Data")</f>
        <v>0</v>
      </c>
      <c r="N108" s="39">
        <f>IFERROR(Tabela134567[[#This Row],[Y2]]-Tabela134567[[#This Row],[Y1]],"Missing Data")</f>
        <v>0</v>
      </c>
      <c r="O108" s="39">
        <f>IFERROR(Tabela134567[[#This Row],[Z2]]-Tabela134567[[#This Row],[Z1]],"Missing Data")</f>
        <v>0</v>
      </c>
    </row>
    <row r="109" spans="4:20" ht="24.75" customHeight="1" x14ac:dyDescent="0.45">
      <c r="D109" s="8" t="s">
        <v>97</v>
      </c>
      <c r="E109" s="39"/>
      <c r="F109" s="86"/>
      <c r="G109" s="86"/>
      <c r="H109" s="86"/>
      <c r="I109" s="39"/>
      <c r="J109" s="86"/>
      <c r="K109" s="86"/>
      <c r="L109" s="86"/>
      <c r="M109" s="39">
        <f>IFERROR(Tabela134567[[#This Row],[X2]]-Tabela134567[[#This Row],[X1]],"Missing Data")</f>
        <v>0</v>
      </c>
      <c r="N109" s="39">
        <f>IFERROR(Tabela134567[[#This Row],[Y2]]-Tabela134567[[#This Row],[Y1]],"Missing Data")</f>
        <v>0</v>
      </c>
      <c r="O109" s="39">
        <f>IFERROR(Tabela134567[[#This Row],[Z2]]-Tabela134567[[#This Row],[Z1]],"Missing Data")</f>
        <v>0</v>
      </c>
    </row>
    <row r="110" spans="4:20" ht="24.75" customHeight="1" x14ac:dyDescent="0.45">
      <c r="D110" s="8" t="s">
        <v>98</v>
      </c>
      <c r="E110" s="39"/>
      <c r="F110" s="86"/>
      <c r="G110" s="86"/>
      <c r="H110" s="86"/>
      <c r="I110" s="39"/>
      <c r="J110" s="86"/>
      <c r="K110" s="86"/>
      <c r="L110" s="86"/>
      <c r="M110" s="39">
        <f>IFERROR(Tabela134567[[#This Row],[X2]]-Tabela134567[[#This Row],[X1]],"Missing Data")</f>
        <v>0</v>
      </c>
      <c r="N110" s="39">
        <f>IFERROR(Tabela134567[[#This Row],[Y2]]-Tabela134567[[#This Row],[Y1]],"Missing Data")</f>
        <v>0</v>
      </c>
      <c r="O110" s="39">
        <f>IFERROR(Tabela134567[[#This Row],[Z2]]-Tabela134567[[#This Row],[Z1]],"Missing Data")</f>
        <v>0</v>
      </c>
    </row>
    <row r="111" spans="4:20" ht="24.75" customHeight="1" x14ac:dyDescent="0.45">
      <c r="D111" s="8" t="s">
        <v>99</v>
      </c>
      <c r="E111" s="39"/>
      <c r="F111" s="86"/>
      <c r="G111" s="86"/>
      <c r="H111" s="86"/>
      <c r="I111" s="39"/>
      <c r="J111" s="86"/>
      <c r="K111" s="86"/>
      <c r="L111" s="86"/>
      <c r="M111" s="39">
        <f>IFERROR(Tabela134567[[#This Row],[X2]]-Tabela134567[[#This Row],[X1]],"Missing Data")</f>
        <v>0</v>
      </c>
      <c r="N111" s="39">
        <f>IFERROR(Tabela134567[[#This Row],[Y2]]-Tabela134567[[#This Row],[Y1]],"Missing Data")</f>
        <v>0</v>
      </c>
      <c r="O111" s="39">
        <f>IFERROR(Tabela134567[[#This Row],[Z2]]-Tabela134567[[#This Row],[Z1]],"Missing Data")</f>
        <v>0</v>
      </c>
    </row>
    <row r="112" spans="4:20" ht="22.5" x14ac:dyDescent="0.45">
      <c r="D112" s="78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</row>
    <row r="113" spans="4:20" s="2" customFormat="1" ht="32" customHeight="1" x14ac:dyDescent="0.45">
      <c r="D113" s="10" t="s">
        <v>380</v>
      </c>
      <c r="E113" s="7" t="s">
        <v>16</v>
      </c>
      <c r="F113" s="7" t="s">
        <v>17</v>
      </c>
      <c r="G113" s="7" t="s">
        <v>18</v>
      </c>
      <c r="H113" s="7" t="s">
        <v>19</v>
      </c>
      <c r="I113" s="3" t="s">
        <v>20</v>
      </c>
      <c r="J113" s="3" t="s">
        <v>21</v>
      </c>
      <c r="K113" s="3" t="s">
        <v>22</v>
      </c>
      <c r="L113" s="3" t="s">
        <v>23</v>
      </c>
      <c r="M113" s="4" t="s">
        <v>24</v>
      </c>
      <c r="N113" s="4" t="s">
        <v>25</v>
      </c>
      <c r="O113" s="4" t="s">
        <v>26</v>
      </c>
      <c r="Q113"/>
      <c r="R113"/>
      <c r="S113"/>
      <c r="T113"/>
    </row>
    <row r="114" spans="4:20" ht="24.75" customHeight="1" x14ac:dyDescent="0.45">
      <c r="D114" s="8" t="s">
        <v>235</v>
      </c>
      <c r="E114" s="39"/>
      <c r="F114" s="86"/>
      <c r="G114" s="86"/>
      <c r="H114" s="86"/>
      <c r="I114" s="39"/>
      <c r="J114" s="86"/>
      <c r="K114" s="86"/>
      <c r="L114" s="86"/>
      <c r="M114" s="39">
        <f>IFERROR(Tabela1345678[[#This Row],[X2]]-Tabela1345678[[#This Row],[X1]],"Missing Data")</f>
        <v>0</v>
      </c>
      <c r="N114" s="39">
        <f>IFERROR(Tabela1345678[[#This Row],[Y2]]-Tabela1345678[[#This Row],[Y1]],"Missing Data")</f>
        <v>0</v>
      </c>
      <c r="O114" s="39">
        <f>IFERROR(Tabela1345678[[#This Row],[Z2]]-Tabela1345678[[#This Row],[Z1]],"Missing Data")</f>
        <v>0</v>
      </c>
    </row>
    <row r="115" spans="4:20" ht="24.75" customHeight="1" x14ac:dyDescent="0.45">
      <c r="D115" s="8" t="s">
        <v>236</v>
      </c>
      <c r="E115" s="39"/>
      <c r="F115" s="86"/>
      <c r="G115" s="86"/>
      <c r="H115" s="86"/>
      <c r="I115" s="39"/>
      <c r="J115" s="86"/>
      <c r="K115" s="86"/>
      <c r="L115" s="86"/>
      <c r="M115" s="39">
        <f>IFERROR(Tabela1345678[[#This Row],[X2]]-Tabela1345678[[#This Row],[X1]],"Missing Data")</f>
        <v>0</v>
      </c>
      <c r="N115" s="39">
        <f>IFERROR(Tabela1345678[[#This Row],[Y2]]-Tabela1345678[[#This Row],[Y1]],"Missing Data")</f>
        <v>0</v>
      </c>
      <c r="O115" s="39">
        <f>IFERROR(Tabela1345678[[#This Row],[Z2]]-Tabela1345678[[#This Row],[Z1]],"Missing Data")</f>
        <v>0</v>
      </c>
    </row>
    <row r="116" spans="4:20" ht="24.75" customHeight="1" x14ac:dyDescent="0.45">
      <c r="D116" s="8" t="s">
        <v>100</v>
      </c>
      <c r="E116" s="39"/>
      <c r="F116" s="86"/>
      <c r="G116" s="86"/>
      <c r="H116" s="86"/>
      <c r="I116" s="39"/>
      <c r="J116" s="86"/>
      <c r="K116" s="86"/>
      <c r="L116" s="86"/>
      <c r="M116" s="39">
        <f>IFERROR(Tabela1345678[[#This Row],[X2]]-Tabela1345678[[#This Row],[X1]],"Missing Data")</f>
        <v>0</v>
      </c>
      <c r="N116" s="39">
        <f>IFERROR(Tabela1345678[[#This Row],[Y2]]-Tabela1345678[[#This Row],[Y1]],"Missing Data")</f>
        <v>0</v>
      </c>
      <c r="O116" s="39">
        <f>IFERROR(Tabela1345678[[#This Row],[Z2]]-Tabela1345678[[#This Row],[Z1]],"Missing Data")</f>
        <v>0</v>
      </c>
    </row>
    <row r="117" spans="4:20" ht="24.75" customHeight="1" x14ac:dyDescent="0.45">
      <c r="D117" s="8" t="s">
        <v>101</v>
      </c>
      <c r="E117" s="39"/>
      <c r="F117" s="86"/>
      <c r="G117" s="86"/>
      <c r="H117" s="86"/>
      <c r="I117" s="39"/>
      <c r="J117" s="86"/>
      <c r="K117" s="86"/>
      <c r="L117" s="86"/>
      <c r="M117" s="39">
        <f>IFERROR(Tabela1345678[[#This Row],[X2]]-Tabela1345678[[#This Row],[X1]],"Missing Data")</f>
        <v>0</v>
      </c>
      <c r="N117" s="39">
        <f>IFERROR(Tabela1345678[[#This Row],[Y2]]-Tabela1345678[[#This Row],[Y1]],"Missing Data")</f>
        <v>0</v>
      </c>
      <c r="O117" s="39">
        <f>IFERROR(Tabela1345678[[#This Row],[Z2]]-Tabela1345678[[#This Row],[Z1]],"Missing Data")</f>
        <v>0</v>
      </c>
    </row>
    <row r="118" spans="4:20" ht="24.75" customHeight="1" x14ac:dyDescent="0.45">
      <c r="D118" s="8" t="s">
        <v>237</v>
      </c>
      <c r="E118" s="39"/>
      <c r="F118" s="86"/>
      <c r="G118" s="86"/>
      <c r="H118" s="86"/>
      <c r="I118" s="39"/>
      <c r="J118" s="86"/>
      <c r="K118" s="86"/>
      <c r="L118" s="86"/>
      <c r="M118" s="39">
        <f>IFERROR(Tabela1345678[[#This Row],[X2]]-Tabela1345678[[#This Row],[X1]],"Missing Data")</f>
        <v>0</v>
      </c>
      <c r="N118" s="39">
        <f>IFERROR(Tabela1345678[[#This Row],[Y2]]-Tabela1345678[[#This Row],[Y1]],"Missing Data")</f>
        <v>0</v>
      </c>
      <c r="O118" s="39">
        <f>IFERROR(Tabela1345678[[#This Row],[Z2]]-Tabela1345678[[#This Row],[Z1]],"Missing Data")</f>
        <v>0</v>
      </c>
    </row>
    <row r="119" spans="4:20" ht="24.75" customHeight="1" x14ac:dyDescent="0.45">
      <c r="D119" s="8" t="s">
        <v>238</v>
      </c>
      <c r="E119" s="39"/>
      <c r="F119" s="86"/>
      <c r="G119" s="86"/>
      <c r="H119" s="86"/>
      <c r="I119" s="39"/>
      <c r="J119" s="86"/>
      <c r="K119" s="86"/>
      <c r="L119" s="86"/>
      <c r="M119" s="39">
        <f>IFERROR(Tabela1345678[[#This Row],[X2]]-Tabela1345678[[#This Row],[X1]],"Missing Data")</f>
        <v>0</v>
      </c>
      <c r="N119" s="39">
        <f>IFERROR(Tabela1345678[[#This Row],[Y2]]-Tabela1345678[[#This Row],[Y1]],"Missing Data")</f>
        <v>0</v>
      </c>
      <c r="O119" s="39">
        <f>IFERROR(Tabela1345678[[#This Row],[Z2]]-Tabela1345678[[#This Row],[Z1]],"Missing Data")</f>
        <v>0</v>
      </c>
    </row>
    <row r="120" spans="4:20" ht="24.75" customHeight="1" x14ac:dyDescent="0.45">
      <c r="D120" s="8" t="s">
        <v>239</v>
      </c>
      <c r="E120" s="39"/>
      <c r="F120" s="86"/>
      <c r="G120" s="86"/>
      <c r="H120" s="86"/>
      <c r="I120" s="39"/>
      <c r="J120" s="86"/>
      <c r="K120" s="86"/>
      <c r="L120" s="86"/>
      <c r="M120" s="39">
        <f>IFERROR(Tabela1345678[[#This Row],[X2]]-Tabela1345678[[#This Row],[X1]],"Missing Data")</f>
        <v>0</v>
      </c>
      <c r="N120" s="39">
        <f>IFERROR(Tabela1345678[[#This Row],[Y2]]-Tabela1345678[[#This Row],[Y1]],"Missing Data")</f>
        <v>0</v>
      </c>
      <c r="O120" s="39">
        <f>IFERROR(Tabela1345678[[#This Row],[Z2]]-Tabela1345678[[#This Row],[Z1]],"Missing Data")</f>
        <v>0</v>
      </c>
    </row>
    <row r="121" spans="4:20" ht="24.75" customHeight="1" x14ac:dyDescent="0.45">
      <c r="D121" s="8" t="s">
        <v>240</v>
      </c>
      <c r="E121" s="39"/>
      <c r="F121" s="86"/>
      <c r="G121" s="86"/>
      <c r="H121" s="86"/>
      <c r="I121" s="39"/>
      <c r="J121" s="86"/>
      <c r="K121" s="86"/>
      <c r="L121" s="86"/>
      <c r="M121" s="39">
        <f>IFERROR(Tabela1345678[[#This Row],[X2]]-Tabela1345678[[#This Row],[X1]],"Missing Data")</f>
        <v>0</v>
      </c>
      <c r="N121" s="39">
        <f>IFERROR(Tabela1345678[[#This Row],[Y2]]-Tabela1345678[[#This Row],[Y1]],"Missing Data")</f>
        <v>0</v>
      </c>
      <c r="O121" s="39">
        <f>IFERROR(Tabela1345678[[#This Row],[Z2]]-Tabela1345678[[#This Row],[Z1]],"Missing Data")</f>
        <v>0</v>
      </c>
    </row>
    <row r="122" spans="4:20" ht="24.75" customHeight="1" x14ac:dyDescent="0.45">
      <c r="D122" s="8" t="s">
        <v>241</v>
      </c>
      <c r="E122" s="39"/>
      <c r="F122" s="86"/>
      <c r="G122" s="86"/>
      <c r="H122" s="86"/>
      <c r="I122" s="39"/>
      <c r="J122" s="86"/>
      <c r="K122" s="86"/>
      <c r="L122" s="86"/>
      <c r="M122" s="39">
        <f>IFERROR(Tabela1345678[[#This Row],[X2]]-Tabela1345678[[#This Row],[X1]],"Missing Data")</f>
        <v>0</v>
      </c>
      <c r="N122" s="39">
        <f>IFERROR(Tabela1345678[[#This Row],[Y2]]-Tabela1345678[[#This Row],[Y1]],"Missing Data")</f>
        <v>0</v>
      </c>
      <c r="O122" s="39">
        <f>IFERROR(Tabela1345678[[#This Row],[Z2]]-Tabela1345678[[#This Row],[Z1]],"Missing Data")</f>
        <v>0</v>
      </c>
    </row>
    <row r="123" spans="4:20" ht="24.75" customHeight="1" x14ac:dyDescent="0.45">
      <c r="D123" s="8" t="s">
        <v>242</v>
      </c>
      <c r="E123" s="39"/>
      <c r="F123" s="86"/>
      <c r="G123" s="86"/>
      <c r="H123" s="86"/>
      <c r="I123" s="39"/>
      <c r="J123" s="86"/>
      <c r="K123" s="86"/>
      <c r="L123" s="86"/>
      <c r="M123" s="39">
        <f>IFERROR(Tabela1345678[[#This Row],[X2]]-Tabela1345678[[#This Row],[X1]],"Missing Data")</f>
        <v>0</v>
      </c>
      <c r="N123" s="39">
        <f>IFERROR(Tabela1345678[[#This Row],[Y2]]-Tabela1345678[[#This Row],[Y1]],"Missing Data")</f>
        <v>0</v>
      </c>
      <c r="O123" s="39">
        <f>IFERROR(Tabela1345678[[#This Row],[Z2]]-Tabela1345678[[#This Row],[Z1]],"Missing Data")</f>
        <v>0</v>
      </c>
    </row>
    <row r="124" spans="4:20" ht="24.75" customHeight="1" x14ac:dyDescent="0.45">
      <c r="D124" s="8" t="s">
        <v>88</v>
      </c>
      <c r="E124" s="39"/>
      <c r="F124" s="86"/>
      <c r="G124" s="86"/>
      <c r="H124" s="86"/>
      <c r="I124" s="39"/>
      <c r="J124" s="86"/>
      <c r="K124" s="86"/>
      <c r="L124" s="86"/>
      <c r="M124" s="39">
        <f>IFERROR(Tabela1345678[[#This Row],[X2]]-Tabela1345678[[#This Row],[X1]],"Missing Data")</f>
        <v>0</v>
      </c>
      <c r="N124" s="39">
        <f>IFERROR(Tabela1345678[[#This Row],[Y2]]-Tabela1345678[[#This Row],[Y1]],"Missing Data")</f>
        <v>0</v>
      </c>
      <c r="O124" s="39">
        <f>IFERROR(Tabela1345678[[#This Row],[Z2]]-Tabela1345678[[#This Row],[Z1]],"Missing Data")</f>
        <v>0</v>
      </c>
    </row>
    <row r="125" spans="4:20" ht="24.75" customHeight="1" x14ac:dyDescent="0.45">
      <c r="D125" s="8" t="s">
        <v>89</v>
      </c>
      <c r="E125" s="39"/>
      <c r="F125" s="86"/>
      <c r="G125" s="86"/>
      <c r="H125" s="86"/>
      <c r="I125" s="39"/>
      <c r="J125" s="86"/>
      <c r="K125" s="86"/>
      <c r="L125" s="86"/>
      <c r="M125" s="39">
        <f>IFERROR(Tabela1345678[[#This Row],[X2]]-Tabela1345678[[#This Row],[X1]],"Missing Data")</f>
        <v>0</v>
      </c>
      <c r="N125" s="39">
        <f>IFERROR(Tabela1345678[[#This Row],[Y2]]-Tabela1345678[[#This Row],[Y1]],"Missing Data")</f>
        <v>0</v>
      </c>
      <c r="O125" s="39">
        <f>IFERROR(Tabela1345678[[#This Row],[Z2]]-Tabela1345678[[#This Row],[Z1]],"Missing Data")</f>
        <v>0</v>
      </c>
    </row>
    <row r="126" spans="4:20" ht="24.75" customHeight="1" x14ac:dyDescent="0.45">
      <c r="D126" s="8" t="s">
        <v>102</v>
      </c>
      <c r="E126" s="39"/>
      <c r="F126" s="86"/>
      <c r="G126" s="86"/>
      <c r="H126" s="86"/>
      <c r="I126" s="39"/>
      <c r="J126" s="86"/>
      <c r="K126" s="86"/>
      <c r="L126" s="86"/>
      <c r="M126" s="39">
        <f>IFERROR(Tabela1345678[[#This Row],[X2]]-Tabela1345678[[#This Row],[X1]],"Missing Data")</f>
        <v>0</v>
      </c>
      <c r="N126" s="39">
        <f>IFERROR(Tabela1345678[[#This Row],[Y2]]-Tabela1345678[[#This Row],[Y1]],"Missing Data")</f>
        <v>0</v>
      </c>
      <c r="O126" s="39">
        <f>IFERROR(Tabela1345678[[#This Row],[Z2]]-Tabela1345678[[#This Row],[Z1]],"Missing Data")</f>
        <v>0</v>
      </c>
    </row>
    <row r="127" spans="4:20" ht="24.75" customHeight="1" x14ac:dyDescent="0.45">
      <c r="D127" s="8" t="s">
        <v>103</v>
      </c>
      <c r="E127" s="39"/>
      <c r="F127" s="86"/>
      <c r="G127" s="86"/>
      <c r="H127" s="86"/>
      <c r="I127" s="39"/>
      <c r="J127" s="86"/>
      <c r="K127" s="86"/>
      <c r="L127" s="86"/>
      <c r="M127" s="39">
        <f>IFERROR(Tabela1345678[[#This Row],[X2]]-Tabela1345678[[#This Row],[X1]],"Missing Data")</f>
        <v>0</v>
      </c>
      <c r="N127" s="39">
        <f>IFERROR(Tabela1345678[[#This Row],[Y2]]-Tabela1345678[[#This Row],[Y1]],"Missing Data")</f>
        <v>0</v>
      </c>
      <c r="O127" s="39">
        <f>IFERROR(Tabela1345678[[#This Row],[Z2]]-Tabela1345678[[#This Row],[Z1]],"Missing Data")</f>
        <v>0</v>
      </c>
    </row>
    <row r="128" spans="4:20" ht="24.75" customHeight="1" x14ac:dyDescent="0.45">
      <c r="D128" s="8" t="s">
        <v>104</v>
      </c>
      <c r="E128" s="39"/>
      <c r="F128" s="86"/>
      <c r="G128" s="86"/>
      <c r="H128" s="86"/>
      <c r="I128" s="39"/>
      <c r="J128" s="86"/>
      <c r="K128" s="86"/>
      <c r="L128" s="86"/>
      <c r="M128" s="39">
        <f>IFERROR(Tabela1345678[[#This Row],[X2]]-Tabela1345678[[#This Row],[X1]],"Missing Data")</f>
        <v>0</v>
      </c>
      <c r="N128" s="39">
        <f>IFERROR(Tabela1345678[[#This Row],[Y2]]-Tabela1345678[[#This Row],[Y1]],"Missing Data")</f>
        <v>0</v>
      </c>
      <c r="O128" s="39">
        <f>IFERROR(Tabela1345678[[#This Row],[Z2]]-Tabela1345678[[#This Row],[Z1]],"Missing Data")</f>
        <v>0</v>
      </c>
    </row>
    <row r="129" spans="4:15" ht="24.75" customHeight="1" x14ac:dyDescent="0.45">
      <c r="D129" s="8" t="s">
        <v>105</v>
      </c>
      <c r="E129" s="39"/>
      <c r="F129" s="86"/>
      <c r="G129" s="86"/>
      <c r="H129" s="86"/>
      <c r="I129" s="39"/>
      <c r="J129" s="86"/>
      <c r="K129" s="86"/>
      <c r="L129" s="86"/>
      <c r="M129" s="39">
        <f>IFERROR(Tabela1345678[[#This Row],[X2]]-Tabela1345678[[#This Row],[X1]],"Missing Data")</f>
        <v>0</v>
      </c>
      <c r="N129" s="39">
        <f>IFERROR(Tabela1345678[[#This Row],[Y2]]-Tabela1345678[[#This Row],[Y1]],"Missing Data")</f>
        <v>0</v>
      </c>
      <c r="O129" s="39">
        <f>IFERROR(Tabela1345678[[#This Row],[Z2]]-Tabela1345678[[#This Row],[Z1]],"Missing Data")</f>
        <v>0</v>
      </c>
    </row>
    <row r="130" spans="4:15" ht="24.75" customHeight="1" x14ac:dyDescent="0.45">
      <c r="D130" s="8" t="s">
        <v>106</v>
      </c>
      <c r="E130" s="39"/>
      <c r="F130" s="86"/>
      <c r="G130" s="86"/>
      <c r="H130" s="86"/>
      <c r="I130" s="39"/>
      <c r="J130" s="86"/>
      <c r="K130" s="86"/>
      <c r="L130" s="86"/>
      <c r="M130" s="39">
        <f>IFERROR(Tabela1345678[[#This Row],[X2]]-Tabela1345678[[#This Row],[X1]],"Missing Data")</f>
        <v>0</v>
      </c>
      <c r="N130" s="39">
        <f>IFERROR(Tabela1345678[[#This Row],[Y2]]-Tabela1345678[[#This Row],[Y1]],"Missing Data")</f>
        <v>0</v>
      </c>
      <c r="O130" s="39">
        <f>IFERROR(Tabela1345678[[#This Row],[Z2]]-Tabela1345678[[#This Row],[Z1]],"Missing Data")</f>
        <v>0</v>
      </c>
    </row>
    <row r="131" spans="4:15" ht="24.75" customHeight="1" x14ac:dyDescent="0.45">
      <c r="D131" s="8" t="s">
        <v>243</v>
      </c>
      <c r="E131" s="39"/>
      <c r="F131" s="86"/>
      <c r="G131" s="86"/>
      <c r="H131" s="86"/>
      <c r="I131" s="39"/>
      <c r="J131" s="86"/>
      <c r="K131" s="86"/>
      <c r="L131" s="86"/>
      <c r="M131" s="39">
        <f>IFERROR(Tabela1345678[[#This Row],[X2]]-Tabela1345678[[#This Row],[X1]],"Missing Data")</f>
        <v>0</v>
      </c>
      <c r="N131" s="39">
        <f>IFERROR(Tabela1345678[[#This Row],[Y2]]-Tabela1345678[[#This Row],[Y1]],"Missing Data")</f>
        <v>0</v>
      </c>
      <c r="O131" s="39">
        <f>IFERROR(Tabela1345678[[#This Row],[Z2]]-Tabela1345678[[#This Row],[Z1]],"Missing Data")</f>
        <v>0</v>
      </c>
    </row>
    <row r="132" spans="4:15" ht="24.75" customHeight="1" x14ac:dyDescent="0.45">
      <c r="D132" s="8" t="s">
        <v>107</v>
      </c>
      <c r="E132" s="39"/>
      <c r="F132" s="86"/>
      <c r="G132" s="86"/>
      <c r="H132" s="86"/>
      <c r="I132" s="39"/>
      <c r="J132" s="86"/>
      <c r="K132" s="86"/>
      <c r="L132" s="86"/>
      <c r="M132" s="39">
        <f>IFERROR(Tabela1345678[[#This Row],[X2]]-Tabela1345678[[#This Row],[X1]],"Missing Data")</f>
        <v>0</v>
      </c>
      <c r="N132" s="39">
        <f>IFERROR(Tabela1345678[[#This Row],[Y2]]-Tabela1345678[[#This Row],[Y1]],"Missing Data")</f>
        <v>0</v>
      </c>
      <c r="O132" s="39">
        <f>IFERROR(Tabela1345678[[#This Row],[Z2]]-Tabela1345678[[#This Row],[Z1]],"Missing Data")</f>
        <v>0</v>
      </c>
    </row>
    <row r="133" spans="4:15" ht="24.75" customHeight="1" x14ac:dyDescent="0.45">
      <c r="D133" s="8" t="s">
        <v>108</v>
      </c>
      <c r="E133" s="39"/>
      <c r="F133" s="86"/>
      <c r="G133" s="86"/>
      <c r="H133" s="86"/>
      <c r="I133" s="39"/>
      <c r="J133" s="86"/>
      <c r="K133" s="86"/>
      <c r="L133" s="86"/>
      <c r="M133" s="39">
        <f>IFERROR(Tabela1345678[[#This Row],[X2]]-Tabela1345678[[#This Row],[X1]],"Missing Data")</f>
        <v>0</v>
      </c>
      <c r="N133" s="39">
        <f>IFERROR(Tabela1345678[[#This Row],[Y2]]-Tabela1345678[[#This Row],[Y1]],"Missing Data")</f>
        <v>0</v>
      </c>
      <c r="O133" s="39">
        <f>IFERROR(Tabela1345678[[#This Row],[Z2]]-Tabela1345678[[#This Row],[Z1]],"Missing Data")</f>
        <v>0</v>
      </c>
    </row>
    <row r="135" spans="4:15" ht="32" customHeight="1" x14ac:dyDescent="0.45">
      <c r="D135" s="10" t="s">
        <v>379</v>
      </c>
      <c r="E135" s="7" t="s">
        <v>16</v>
      </c>
      <c r="F135" s="7" t="s">
        <v>17</v>
      </c>
      <c r="G135" s="7" t="s">
        <v>18</v>
      </c>
      <c r="H135" s="7" t="s">
        <v>19</v>
      </c>
      <c r="I135" s="3" t="s">
        <v>20</v>
      </c>
      <c r="J135" s="3" t="s">
        <v>21</v>
      </c>
      <c r="K135" s="3" t="s">
        <v>22</v>
      </c>
      <c r="L135" s="3" t="s">
        <v>23</v>
      </c>
      <c r="M135" s="4" t="s">
        <v>24</v>
      </c>
      <c r="N135" s="4" t="s">
        <v>25</v>
      </c>
      <c r="O135" s="4" t="s">
        <v>26</v>
      </c>
    </row>
    <row r="136" spans="4:15" ht="24.75" customHeight="1" x14ac:dyDescent="0.45">
      <c r="D136" s="8" t="s">
        <v>88</v>
      </c>
      <c r="E136" s="39"/>
      <c r="F136" s="86"/>
      <c r="G136" s="86"/>
      <c r="H136" s="86"/>
      <c r="I136" s="39"/>
      <c r="J136" s="86"/>
      <c r="K136" s="86"/>
      <c r="L136" s="86"/>
      <c r="M136" s="39">
        <f>IFERROR(Tabela13456710[[#This Row],[X2]]-Tabela13456710[[#This Row],[X1]],"Missing Data")</f>
        <v>0</v>
      </c>
      <c r="N136" s="39">
        <f>IFERROR(Tabela13456710[[#This Row],[Y2]]-Tabela13456710[[#This Row],[Y1]],"Missing Data")</f>
        <v>0</v>
      </c>
      <c r="O136" s="39">
        <f>IFERROR(Tabela13456710[[#This Row],[Z2]]-Tabela13456710[[#This Row],[Z1]],"Missing Data")</f>
        <v>0</v>
      </c>
    </row>
    <row r="137" spans="4:15" ht="24.75" customHeight="1" x14ac:dyDescent="0.45">
      <c r="D137" s="8" t="s">
        <v>89</v>
      </c>
      <c r="E137" s="39"/>
      <c r="F137" s="86"/>
      <c r="G137" s="86"/>
      <c r="H137" s="86"/>
      <c r="I137" s="39"/>
      <c r="J137" s="86"/>
      <c r="K137" s="86"/>
      <c r="L137" s="86"/>
      <c r="M137" s="39">
        <f>IFERROR(Tabela13456710[[#This Row],[X2]]-Tabela13456710[[#This Row],[X1]],"Missing Data")</f>
        <v>0</v>
      </c>
      <c r="N137" s="39">
        <f>IFERROR(Tabela13456710[[#This Row],[Y2]]-Tabela13456710[[#This Row],[Y1]],"Missing Data")</f>
        <v>0</v>
      </c>
      <c r="O137" s="39">
        <f>IFERROR(Tabela13456710[[#This Row],[Z2]]-Tabela13456710[[#This Row],[Z1]],"Missing Data")</f>
        <v>0</v>
      </c>
    </row>
    <row r="138" spans="4:15" ht="24.75" customHeight="1" x14ac:dyDescent="0.45">
      <c r="D138" s="8" t="s">
        <v>90</v>
      </c>
      <c r="E138" s="39"/>
      <c r="F138" s="86"/>
      <c r="G138" s="86"/>
      <c r="H138" s="86"/>
      <c r="I138" s="39"/>
      <c r="J138" s="86"/>
      <c r="K138" s="86"/>
      <c r="L138" s="86"/>
      <c r="M138" s="39">
        <f>IFERROR(Tabela13456710[[#This Row],[X2]]-Tabela13456710[[#This Row],[X1]],"Missing Data")</f>
        <v>0</v>
      </c>
      <c r="N138" s="39">
        <f>IFERROR(Tabela13456710[[#This Row],[Y2]]-Tabela13456710[[#This Row],[Y1]],"Missing Data")</f>
        <v>0</v>
      </c>
      <c r="O138" s="39">
        <f>IFERROR(Tabela13456710[[#This Row],[Z2]]-Tabela13456710[[#This Row],[Z1]],"Missing Data")</f>
        <v>0</v>
      </c>
    </row>
    <row r="139" spans="4:15" ht="24.75" customHeight="1" x14ac:dyDescent="0.45">
      <c r="D139" s="8" t="s">
        <v>91</v>
      </c>
      <c r="E139" s="39"/>
      <c r="F139" s="86"/>
      <c r="G139" s="86"/>
      <c r="H139" s="86"/>
      <c r="I139" s="39"/>
      <c r="J139" s="86"/>
      <c r="K139" s="86"/>
      <c r="L139" s="86"/>
      <c r="M139" s="39">
        <f>IFERROR(Tabela13456710[[#This Row],[X2]]-Tabela13456710[[#This Row],[X1]],"Missing Data")</f>
        <v>0</v>
      </c>
      <c r="N139" s="39">
        <f>IFERROR(Tabela13456710[[#This Row],[Y2]]-Tabela13456710[[#This Row],[Y1]],"Missing Data")</f>
        <v>0</v>
      </c>
      <c r="O139" s="39">
        <f>IFERROR(Tabela13456710[[#This Row],[Z2]]-Tabela13456710[[#This Row],[Z1]],"Missing Data")</f>
        <v>0</v>
      </c>
    </row>
    <row r="140" spans="4:15" ht="24.75" customHeight="1" x14ac:dyDescent="0.45">
      <c r="D140" s="8" t="s">
        <v>92</v>
      </c>
      <c r="E140" s="39"/>
      <c r="F140" s="86"/>
      <c r="G140" s="86"/>
      <c r="H140" s="86"/>
      <c r="I140" s="39"/>
      <c r="J140" s="86"/>
      <c r="K140" s="86"/>
      <c r="L140" s="86"/>
      <c r="M140" s="39">
        <f>IFERROR(Tabela13456710[[#This Row],[X2]]-Tabela13456710[[#This Row],[X1]],"Missing Data")</f>
        <v>0</v>
      </c>
      <c r="N140" s="39">
        <f>IFERROR(Tabela13456710[[#This Row],[Y2]]-Tabela13456710[[#This Row],[Y1]],"Missing Data")</f>
        <v>0</v>
      </c>
      <c r="O140" s="39">
        <f>IFERROR(Tabela13456710[[#This Row],[Z2]]-Tabela13456710[[#This Row],[Z1]],"Missing Data")</f>
        <v>0</v>
      </c>
    </row>
    <row r="141" spans="4:15" ht="24.75" customHeight="1" x14ac:dyDescent="0.45">
      <c r="D141" s="8" t="s">
        <v>234</v>
      </c>
      <c r="E141" s="39"/>
      <c r="F141" s="86"/>
      <c r="G141" s="86"/>
      <c r="H141" s="86"/>
      <c r="I141" s="39"/>
      <c r="J141" s="86"/>
      <c r="K141" s="86"/>
      <c r="L141" s="86"/>
      <c r="M141" s="39">
        <f>IFERROR(Tabela13456710[[#This Row],[X2]]-Tabela13456710[[#This Row],[X1]],"Missing Data")</f>
        <v>0</v>
      </c>
      <c r="N141" s="39">
        <f>IFERROR(Tabela13456710[[#This Row],[Y2]]-Tabela13456710[[#This Row],[Y1]],"Missing Data")</f>
        <v>0</v>
      </c>
      <c r="O141" s="39">
        <f>IFERROR(Tabela13456710[[#This Row],[Z2]]-Tabela13456710[[#This Row],[Z1]],"Missing Data")</f>
        <v>0</v>
      </c>
    </row>
    <row r="142" spans="4:15" ht="24.75" customHeight="1" x14ac:dyDescent="0.45">
      <c r="D142" s="8" t="s">
        <v>93</v>
      </c>
      <c r="E142" s="39"/>
      <c r="F142" s="86"/>
      <c r="G142" s="86"/>
      <c r="H142" s="86"/>
      <c r="I142" s="39"/>
      <c r="J142" s="86"/>
      <c r="K142" s="86"/>
      <c r="L142" s="86"/>
      <c r="M142" s="39">
        <f>IFERROR(Tabela13456710[[#This Row],[X2]]-Tabela13456710[[#This Row],[X1]],"Missing Data")</f>
        <v>0</v>
      </c>
      <c r="N142" s="39">
        <f>IFERROR(Tabela13456710[[#This Row],[Y2]]-Tabela13456710[[#This Row],[Y1]],"Missing Data")</f>
        <v>0</v>
      </c>
      <c r="O142" s="39">
        <f>IFERROR(Tabela13456710[[#This Row],[Z2]]-Tabela13456710[[#This Row],[Z1]],"Missing Data")</f>
        <v>0</v>
      </c>
    </row>
    <row r="143" spans="4:15" ht="24.75" customHeight="1" x14ac:dyDescent="0.45">
      <c r="D143" s="8" t="s">
        <v>94</v>
      </c>
      <c r="E143" s="39"/>
      <c r="F143" s="86"/>
      <c r="G143" s="86"/>
      <c r="H143" s="86"/>
      <c r="I143" s="39"/>
      <c r="J143" s="86"/>
      <c r="K143" s="86"/>
      <c r="L143" s="86"/>
      <c r="M143" s="39">
        <f>IFERROR(Tabela13456710[[#This Row],[X2]]-Tabela13456710[[#This Row],[X1]],"Missing Data")</f>
        <v>0</v>
      </c>
      <c r="N143" s="39">
        <f>IFERROR(Tabela13456710[[#This Row],[Y2]]-Tabela13456710[[#This Row],[Y1]],"Missing Data")</f>
        <v>0</v>
      </c>
      <c r="O143" s="39">
        <f>IFERROR(Tabela13456710[[#This Row],[Z2]]-Tabela13456710[[#This Row],[Z1]],"Missing Data")</f>
        <v>0</v>
      </c>
    </row>
    <row r="144" spans="4:15" ht="24.75" customHeight="1" x14ac:dyDescent="0.45">
      <c r="D144" s="8" t="s">
        <v>95</v>
      </c>
      <c r="E144" s="39"/>
      <c r="F144" s="86"/>
      <c r="G144" s="86"/>
      <c r="H144" s="86"/>
      <c r="I144" s="39"/>
      <c r="J144" s="86"/>
      <c r="K144" s="86"/>
      <c r="L144" s="86"/>
      <c r="M144" s="39">
        <f>IFERROR(Tabela13456710[[#This Row],[X2]]-Tabela13456710[[#This Row],[X1]],"Missing Data")</f>
        <v>0</v>
      </c>
      <c r="N144" s="39">
        <f>IFERROR(Tabela13456710[[#This Row],[Y2]]-Tabela13456710[[#This Row],[Y1]],"Missing Data")</f>
        <v>0</v>
      </c>
      <c r="O144" s="39">
        <f>IFERROR(Tabela13456710[[#This Row],[Z2]]-Tabela13456710[[#This Row],[Z1]],"Missing Data")</f>
        <v>0</v>
      </c>
    </row>
    <row r="145" spans="4:15" ht="24.75" customHeight="1" x14ac:dyDescent="0.45">
      <c r="D145" s="8" t="s">
        <v>96</v>
      </c>
      <c r="E145" s="39"/>
      <c r="F145" s="86"/>
      <c r="G145" s="86"/>
      <c r="H145" s="86"/>
      <c r="I145" s="39"/>
      <c r="J145" s="86"/>
      <c r="K145" s="86"/>
      <c r="L145" s="86"/>
      <c r="M145" s="39">
        <f>IFERROR(Tabela13456710[[#This Row],[X2]]-Tabela13456710[[#This Row],[X1]],"Missing Data")</f>
        <v>0</v>
      </c>
      <c r="N145" s="39">
        <f>IFERROR(Tabela13456710[[#This Row],[Y2]]-Tabela13456710[[#This Row],[Y1]],"Missing Data")</f>
        <v>0</v>
      </c>
      <c r="O145" s="39">
        <f>IFERROR(Tabela13456710[[#This Row],[Z2]]-Tabela13456710[[#This Row],[Z1]],"Missing Data")</f>
        <v>0</v>
      </c>
    </row>
    <row r="146" spans="4:15" ht="24.75" customHeight="1" x14ac:dyDescent="0.45">
      <c r="D146" s="8" t="s">
        <v>97</v>
      </c>
      <c r="E146" s="39"/>
      <c r="F146" s="86"/>
      <c r="G146" s="86"/>
      <c r="H146" s="86"/>
      <c r="I146" s="39"/>
      <c r="J146" s="86"/>
      <c r="K146" s="86"/>
      <c r="L146" s="86"/>
      <c r="M146" s="39">
        <f>IFERROR(Tabela13456710[[#This Row],[X2]]-Tabela13456710[[#This Row],[X1]],"Missing Data")</f>
        <v>0</v>
      </c>
      <c r="N146" s="39">
        <f>IFERROR(Tabela13456710[[#This Row],[Y2]]-Tabela13456710[[#This Row],[Y1]],"Missing Data")</f>
        <v>0</v>
      </c>
      <c r="O146" s="39">
        <f>IFERROR(Tabela13456710[[#This Row],[Z2]]-Tabela13456710[[#This Row],[Z1]],"Missing Data")</f>
        <v>0</v>
      </c>
    </row>
    <row r="147" spans="4:15" ht="24.75" customHeight="1" x14ac:dyDescent="0.45">
      <c r="D147" s="8" t="s">
        <v>98</v>
      </c>
      <c r="E147" s="39"/>
      <c r="F147" s="86"/>
      <c r="G147" s="86"/>
      <c r="H147" s="86"/>
      <c r="I147" s="39"/>
      <c r="J147" s="86"/>
      <c r="K147" s="86"/>
      <c r="L147" s="86"/>
      <c r="M147" s="39">
        <f>IFERROR(Tabela13456710[[#This Row],[X2]]-Tabela13456710[[#This Row],[X1]],"Missing Data")</f>
        <v>0</v>
      </c>
      <c r="N147" s="39">
        <f>IFERROR(Tabela13456710[[#This Row],[Y2]]-Tabela13456710[[#This Row],[Y1]],"Missing Data")</f>
        <v>0</v>
      </c>
      <c r="O147" s="39">
        <f>IFERROR(Tabela13456710[[#This Row],[Z2]]-Tabela13456710[[#This Row],[Z1]],"Missing Data")</f>
        <v>0</v>
      </c>
    </row>
    <row r="148" spans="4:15" ht="24.75" customHeight="1" x14ac:dyDescent="0.45">
      <c r="D148" s="8" t="s">
        <v>99</v>
      </c>
      <c r="E148" s="39"/>
      <c r="F148" s="86"/>
      <c r="G148" s="86"/>
      <c r="H148" s="86"/>
      <c r="I148" s="39"/>
      <c r="J148" s="86"/>
      <c r="K148" s="86"/>
      <c r="L148" s="86"/>
      <c r="M148" s="39">
        <f>IFERROR(Tabela13456710[[#This Row],[X2]]-Tabela13456710[[#This Row],[X1]],"Missing Data")</f>
        <v>0</v>
      </c>
      <c r="N148" s="39">
        <f>IFERROR(Tabela13456710[[#This Row],[Y2]]-Tabela13456710[[#This Row],[Y1]],"Missing Data")</f>
        <v>0</v>
      </c>
      <c r="O148" s="39">
        <f>IFERROR(Tabela13456710[[#This Row],[Z2]]-Tabela13456710[[#This Row],[Z1]],"Missing Data")</f>
        <v>0</v>
      </c>
    </row>
  </sheetData>
  <conditionalFormatting sqref="E2:O19">
    <cfRule type="expression" dxfId="73" priority="37">
      <formula>$M2&lt;&gt;0</formula>
    </cfRule>
    <cfRule type="expression" dxfId="72" priority="38">
      <formula>$N2&lt;&gt;0</formula>
    </cfRule>
    <cfRule type="expression" dxfId="71" priority="39">
      <formula>$O2&lt;&gt;0</formula>
    </cfRule>
    <cfRule type="expression" dxfId="70" priority="40">
      <formula>$O2=0</formula>
    </cfRule>
  </conditionalFormatting>
  <conditionalFormatting sqref="E22:O39">
    <cfRule type="expression" dxfId="69" priority="33">
      <formula>$M22&lt;&gt;0</formula>
    </cfRule>
    <cfRule type="expression" dxfId="68" priority="34">
      <formula>$N22&lt;&gt;0</formula>
    </cfRule>
    <cfRule type="expression" dxfId="67" priority="35">
      <formula>$O22&lt;&gt;0</formula>
    </cfRule>
    <cfRule type="expression" dxfId="66" priority="36">
      <formula>$O22=0</formula>
    </cfRule>
  </conditionalFormatting>
  <conditionalFormatting sqref="E42:O49">
    <cfRule type="expression" dxfId="65" priority="29">
      <formula>$M42&lt;&gt;0</formula>
    </cfRule>
    <cfRule type="expression" dxfId="64" priority="30">
      <formula>$N42&lt;&gt;0</formula>
    </cfRule>
    <cfRule type="expression" dxfId="63" priority="31">
      <formula>$O42&lt;&gt;0</formula>
    </cfRule>
    <cfRule type="expression" dxfId="62" priority="32">
      <formula>$O42=0</formula>
    </cfRule>
  </conditionalFormatting>
  <conditionalFormatting sqref="E52:O66">
    <cfRule type="expression" dxfId="61" priority="25">
      <formula>$M52&lt;&gt;0</formula>
    </cfRule>
    <cfRule type="expression" dxfId="60" priority="26">
      <formula>$N52&lt;&gt;0</formula>
    </cfRule>
    <cfRule type="expression" dxfId="59" priority="27">
      <formula>$O52&lt;&gt;0</formula>
    </cfRule>
    <cfRule type="expression" dxfId="58" priority="28">
      <formula>$O52=0</formula>
    </cfRule>
  </conditionalFormatting>
  <conditionalFormatting sqref="E69:O96">
    <cfRule type="expression" dxfId="57" priority="21">
      <formula>$M69&lt;&gt;0</formula>
    </cfRule>
    <cfRule type="expression" dxfId="56" priority="22">
      <formula>$N69&lt;&gt;0</formula>
    </cfRule>
    <cfRule type="expression" dxfId="55" priority="23">
      <formula>$O69&lt;&gt;0</formula>
    </cfRule>
    <cfRule type="expression" dxfId="54" priority="24">
      <formula>$O69=0</formula>
    </cfRule>
  </conditionalFormatting>
  <conditionalFormatting sqref="E99:O111">
    <cfRule type="expression" dxfId="53" priority="17">
      <formula>$M99&lt;&gt;0</formula>
    </cfRule>
    <cfRule type="expression" dxfId="52" priority="18">
      <formula>$N99&lt;&gt;0</formula>
    </cfRule>
    <cfRule type="expression" dxfId="51" priority="19">
      <formula>$O99&lt;&gt;0</formula>
    </cfRule>
    <cfRule type="expression" dxfId="50" priority="20">
      <formula>$O99=0</formula>
    </cfRule>
  </conditionalFormatting>
  <conditionalFormatting sqref="E114:O133">
    <cfRule type="expression" dxfId="49" priority="13">
      <formula>$M114&lt;&gt;0</formula>
    </cfRule>
    <cfRule type="expression" dxfId="48" priority="14">
      <formula>$N114&lt;&gt;0</formula>
    </cfRule>
    <cfRule type="expression" dxfId="47" priority="15">
      <formula>$O114&lt;&gt;0</formula>
    </cfRule>
    <cfRule type="expression" dxfId="46" priority="16">
      <formula>$O114=0</formula>
    </cfRule>
  </conditionalFormatting>
  <conditionalFormatting sqref="R2:T7">
    <cfRule type="expression" dxfId="45" priority="9">
      <formula>$T2&lt;&gt;0</formula>
    </cfRule>
    <cfRule type="expression" dxfId="44" priority="12">
      <formula>$T2=0</formula>
    </cfRule>
  </conditionalFormatting>
  <conditionalFormatting sqref="R22:T27">
    <cfRule type="expression" dxfId="43" priority="7">
      <formula>$T22&lt;&gt;0</formula>
    </cfRule>
    <cfRule type="expression" dxfId="42" priority="8">
      <formula>$T22=0</formula>
    </cfRule>
  </conditionalFormatting>
  <conditionalFormatting sqref="R42:T45">
    <cfRule type="expression" dxfId="41" priority="5">
      <formula>$T42&lt;&gt;0</formula>
    </cfRule>
    <cfRule type="expression" dxfId="40" priority="6">
      <formula>$T42=0</formula>
    </cfRule>
  </conditionalFormatting>
  <conditionalFormatting sqref="E136:O148">
    <cfRule type="expression" dxfId="39" priority="1">
      <formula>$M136&lt;&gt;0</formula>
    </cfRule>
    <cfRule type="expression" dxfId="38" priority="2">
      <formula>$N136&lt;&gt;0</formula>
    </cfRule>
    <cfRule type="expression" dxfId="37" priority="3">
      <formula>$O136&lt;&gt;0</formula>
    </cfRule>
    <cfRule type="expression" dxfId="36" priority="4">
      <formula>$O136=0</formula>
    </cfRule>
  </conditionalFormatting>
  <pageMargins left="0.511811024" right="0.511811024" top="0.78740157499999996" bottom="0.78740157499999996" header="0.31496062000000002" footer="0.31496062000000002"/>
  <drawing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2882EE-E634-4702-B5B4-77BDB4179D07}">
          <x14:formula1>
            <xm:f>Listas!$A$3:$A$968</xm:f>
          </x14:formula1>
          <xm:sqref>B2:B3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D652-8B73-4111-B9E3-3DFB53D0809B}">
  <sheetPr codeName="Folha3">
    <tabColor rgb="FF92D050"/>
  </sheetPr>
  <dimension ref="A1:Q62"/>
  <sheetViews>
    <sheetView showGridLines="0" topLeftCell="A25" zoomScale="70" zoomScaleNormal="70" workbookViewId="0">
      <selection activeCell="R56" sqref="R56"/>
    </sheetView>
  </sheetViews>
  <sheetFormatPr defaultRowHeight="14.25" x14ac:dyDescent="0.45"/>
  <cols>
    <col min="1" max="1" width="20.46484375" bestFit="1" customWidth="1"/>
    <col min="2" max="2" width="47.1328125" bestFit="1" customWidth="1"/>
    <col min="3" max="3" width="5.1328125" customWidth="1"/>
    <col min="4" max="4" width="44.33203125" customWidth="1"/>
    <col min="5" max="5" width="13.46484375" bestFit="1" customWidth="1"/>
    <col min="6" max="6" width="12.1328125" style="43" bestFit="1" customWidth="1"/>
    <col min="7" max="7" width="12" style="43" bestFit="1" customWidth="1"/>
    <col min="8" max="8" width="12.46484375" style="43" bestFit="1" customWidth="1"/>
    <col min="9" max="9" width="13.33203125" bestFit="1" customWidth="1"/>
    <col min="10" max="10" width="12.33203125" style="43" bestFit="1" customWidth="1"/>
    <col min="11" max="12" width="13.53125" style="43" bestFit="1" customWidth="1"/>
    <col min="13" max="13" width="13.53125" bestFit="1" customWidth="1"/>
    <col min="14" max="14" width="13.53125" style="43" bestFit="1" customWidth="1"/>
    <col min="15" max="16" width="13.53125" style="43" customWidth="1"/>
  </cols>
  <sheetData>
    <row r="1" spans="1:17" s="2" customFormat="1" ht="32" customHeight="1" x14ac:dyDescent="0.45">
      <c r="D1" s="10" t="s">
        <v>109</v>
      </c>
      <c r="E1" s="7" t="s">
        <v>110</v>
      </c>
      <c r="F1" s="40" t="s">
        <v>111</v>
      </c>
      <c r="G1" s="40" t="s">
        <v>112</v>
      </c>
      <c r="H1" s="40" t="s">
        <v>113</v>
      </c>
      <c r="I1" s="3" t="s">
        <v>114</v>
      </c>
      <c r="J1" s="44" t="s">
        <v>115</v>
      </c>
      <c r="K1" s="44" t="s">
        <v>116</v>
      </c>
      <c r="L1" s="44" t="s">
        <v>117</v>
      </c>
      <c r="M1" s="4" t="s">
        <v>118</v>
      </c>
      <c r="N1" s="46" t="s">
        <v>119</v>
      </c>
      <c r="O1" s="46" t="s">
        <v>120</v>
      </c>
      <c r="P1" s="46" t="s">
        <v>121</v>
      </c>
    </row>
    <row r="2" spans="1:17" s="2" customFormat="1" ht="25.25" customHeight="1" x14ac:dyDescent="0.45">
      <c r="A2" s="5" t="s">
        <v>31</v>
      </c>
      <c r="B2" s="5" t="s">
        <v>482</v>
      </c>
      <c r="D2" s="8" t="s">
        <v>122</v>
      </c>
      <c r="E2" s="39"/>
      <c r="F2" s="41"/>
      <c r="G2" s="41"/>
      <c r="H2" s="41"/>
      <c r="I2" s="39"/>
      <c r="J2" s="41"/>
      <c r="K2" s="41"/>
      <c r="L2" s="41"/>
      <c r="M2" s="39">
        <f>IFERROR(Tabela1318[[#This Row],[Mass1]]-Tabela1318[[#This Row],[Mass2]],"Missing Data")</f>
        <v>0</v>
      </c>
      <c r="N2" s="41">
        <f>IFERROR(Tabela1318[[#This Row],[IXX1]]-Tabela1318[[#This Row],[IXX2]],"Missing Data")</f>
        <v>0</v>
      </c>
      <c r="O2" s="41">
        <f>IFERROR(Tabela1318[[#This Row],[IYY1]]-Tabela1318[[#This Row],[IYY2]],"Missing Data")</f>
        <v>0</v>
      </c>
      <c r="P2" s="41">
        <f>IFERROR(Tabela1318[[#This Row],[IZZ1]]-Tabela1318[[#This Row],[IZZ2]],"Missing Data")</f>
        <v>0</v>
      </c>
    </row>
    <row r="3" spans="1:17" s="2" customFormat="1" ht="25.25" customHeight="1" x14ac:dyDescent="0.45">
      <c r="A3" s="6" t="s">
        <v>34</v>
      </c>
      <c r="B3" s="6" t="s">
        <v>483</v>
      </c>
      <c r="D3" s="8" t="s">
        <v>244</v>
      </c>
      <c r="E3" s="39"/>
      <c r="F3" s="41"/>
      <c r="G3" s="41"/>
      <c r="H3" s="41"/>
      <c r="I3" s="39"/>
      <c r="J3" s="41"/>
      <c r="K3" s="41"/>
      <c r="L3" s="41"/>
      <c r="M3" s="39">
        <f>IFERROR(Tabela1318[[#This Row],[Mass1]]-Tabela1318[[#This Row],[Mass2]],"Missing Data")</f>
        <v>0</v>
      </c>
      <c r="N3" s="41">
        <f>IFERROR(Tabela1318[[#This Row],[IXX1]]-Tabela1318[[#This Row],[IXX2]],"Missing Data")</f>
        <v>0</v>
      </c>
      <c r="O3" s="41">
        <f>IFERROR(Tabela1318[[#This Row],[IYY1]]-Tabela1318[[#This Row],[IYY2]],"Missing Data")</f>
        <v>0</v>
      </c>
      <c r="P3" s="41">
        <f>IFERROR(Tabela1318[[#This Row],[IZZ1]]-Tabela1318[[#This Row],[IZZ2]],"Missing Data")</f>
        <v>0</v>
      </c>
    </row>
    <row r="4" spans="1:17" s="2" customFormat="1" ht="25.25" customHeight="1" x14ac:dyDescent="0.45">
      <c r="D4" s="8" t="s">
        <v>245</v>
      </c>
      <c r="E4" s="39"/>
      <c r="F4" s="41"/>
      <c r="G4" s="41"/>
      <c r="H4" s="41"/>
      <c r="I4" s="39"/>
      <c r="J4" s="41"/>
      <c r="K4" s="41"/>
      <c r="L4" s="41"/>
      <c r="M4" s="39">
        <f>IFERROR(Tabela1318[[#This Row],[Mass1]]-Tabela1318[[#This Row],[Mass2]],"Missing Data")</f>
        <v>0</v>
      </c>
      <c r="N4" s="41">
        <f>IFERROR(Tabela1318[[#This Row],[IXX1]]-Tabela1318[[#This Row],[IXX2]],"Missing Data")</f>
        <v>0</v>
      </c>
      <c r="O4" s="41">
        <f>IFERROR(Tabela1318[[#This Row],[IYY1]]-Tabela1318[[#This Row],[IYY2]],"Missing Data")</f>
        <v>0</v>
      </c>
      <c r="P4" s="41">
        <f>IFERROR(Tabela1318[[#This Row],[IZZ1]]-Tabela1318[[#This Row],[IZZ2]],"Missing Data")</f>
        <v>0</v>
      </c>
    </row>
    <row r="5" spans="1:17" s="2" customFormat="1" ht="25.25" customHeight="1" x14ac:dyDescent="0.45">
      <c r="D5" s="8" t="s">
        <v>123</v>
      </c>
      <c r="E5" s="39"/>
      <c r="F5" s="41"/>
      <c r="G5" s="41"/>
      <c r="H5" s="41"/>
      <c r="I5" s="39"/>
      <c r="J5" s="41"/>
      <c r="K5" s="41"/>
      <c r="L5" s="41"/>
      <c r="M5" s="39">
        <f>IFERROR(Tabela1318[[#This Row],[Mass1]]-Tabela1318[[#This Row],[Mass2]],"Missing Data")</f>
        <v>0</v>
      </c>
      <c r="N5" s="41">
        <f>IFERROR(Tabela1318[[#This Row],[IXX1]]-Tabela1318[[#This Row],[IXX2]],"Missing Data")</f>
        <v>0</v>
      </c>
      <c r="O5" s="41">
        <f>IFERROR(Tabela1318[[#This Row],[IYY1]]-Tabela1318[[#This Row],[IYY2]],"Missing Data")</f>
        <v>0</v>
      </c>
      <c r="P5" s="41">
        <f>IFERROR(Tabela1318[[#This Row],[IZZ1]]-Tabela1318[[#This Row],[IZZ2]],"Missing Data")</f>
        <v>0</v>
      </c>
    </row>
    <row r="6" spans="1:17" s="2" customFormat="1" ht="25.25" customHeight="1" x14ac:dyDescent="0.45">
      <c r="D6" s="8" t="s">
        <v>124</v>
      </c>
      <c r="E6" s="39"/>
      <c r="F6" s="41"/>
      <c r="G6" s="41"/>
      <c r="H6" s="41"/>
      <c r="I6" s="39"/>
      <c r="J6" s="41"/>
      <c r="K6" s="41"/>
      <c r="L6" s="41"/>
      <c r="M6" s="39">
        <f>IFERROR(Tabela1318[[#This Row],[Mass1]]-Tabela1318[[#This Row],[Mass2]],"Missing Data")</f>
        <v>0</v>
      </c>
      <c r="N6" s="41">
        <f>IFERROR(Tabela1318[[#This Row],[IXX1]]-Tabela1318[[#This Row],[IXX2]],"Missing Data")</f>
        <v>0</v>
      </c>
      <c r="O6" s="41">
        <f>IFERROR(Tabela1318[[#This Row],[IYY1]]-Tabela1318[[#This Row],[IYY2]],"Missing Data")</f>
        <v>0</v>
      </c>
      <c r="P6" s="41">
        <f>IFERROR(Tabela1318[[#This Row],[IZZ1]]-Tabela1318[[#This Row],[IZZ2]],"Missing Data")</f>
        <v>0</v>
      </c>
    </row>
    <row r="7" spans="1:17" s="2" customFormat="1" ht="25.25" customHeight="1" x14ac:dyDescent="0.45">
      <c r="D7" s="8" t="s">
        <v>125</v>
      </c>
      <c r="E7" s="39"/>
      <c r="F7" s="41"/>
      <c r="G7" s="41"/>
      <c r="H7" s="41"/>
      <c r="I7" s="39"/>
      <c r="J7" s="41"/>
      <c r="K7" s="41"/>
      <c r="L7" s="41"/>
      <c r="M7" s="39">
        <f>IFERROR(Tabela1318[[#This Row],[Mass1]]-Tabela1318[[#This Row],[Mass2]],"Missing Data")</f>
        <v>0</v>
      </c>
      <c r="N7" s="41">
        <f>IFERROR(Tabela1318[[#This Row],[IXX1]]-Tabela1318[[#This Row],[IXX2]],"Missing Data")</f>
        <v>0</v>
      </c>
      <c r="O7" s="41">
        <f>IFERROR(Tabela1318[[#This Row],[IYY1]]-Tabela1318[[#This Row],[IYY2]],"Missing Data")</f>
        <v>0</v>
      </c>
      <c r="P7" s="41">
        <f>IFERROR(Tabela1318[[#This Row],[IZZ1]]-Tabela1318[[#This Row],[IZZ2]],"Missing Data")</f>
        <v>0</v>
      </c>
    </row>
    <row r="8" spans="1:17" s="2" customFormat="1" ht="25.25" customHeight="1" x14ac:dyDescent="0.45">
      <c r="D8" s="8" t="s">
        <v>126</v>
      </c>
      <c r="E8" s="39"/>
      <c r="F8" s="41"/>
      <c r="G8" s="41"/>
      <c r="H8" s="41"/>
      <c r="I8" s="39"/>
      <c r="J8" s="41"/>
      <c r="K8" s="41"/>
      <c r="L8" s="41"/>
      <c r="M8" s="39">
        <f>IFERROR(Tabela1318[[#This Row],[Mass1]]-Tabela1318[[#This Row],[Mass2]],"Missing Data")</f>
        <v>0</v>
      </c>
      <c r="N8" s="41">
        <f>IFERROR(Tabela1318[[#This Row],[IXX1]]-Tabela1318[[#This Row],[IXX2]],"Missing Data")</f>
        <v>0</v>
      </c>
      <c r="O8" s="41">
        <f>IFERROR(Tabela1318[[#This Row],[IYY1]]-Tabela1318[[#This Row],[IYY2]],"Missing Data")</f>
        <v>0</v>
      </c>
      <c r="P8" s="41">
        <f>IFERROR(Tabela1318[[#This Row],[IZZ1]]-Tabela1318[[#This Row],[IZZ2]],"Missing Data")</f>
        <v>0</v>
      </c>
    </row>
    <row r="9" spans="1:17" s="2" customFormat="1" ht="25.25" customHeight="1" x14ac:dyDescent="0.45">
      <c r="D9" s="8" t="s">
        <v>127</v>
      </c>
      <c r="E9" s="39"/>
      <c r="F9" s="41"/>
      <c r="G9" s="41"/>
      <c r="H9" s="41"/>
      <c r="I9" s="39"/>
      <c r="J9" s="41"/>
      <c r="K9" s="41"/>
      <c r="L9" s="41"/>
      <c r="M9" s="39">
        <f>IFERROR(Tabela1318[[#This Row],[Mass1]]-Tabela1318[[#This Row],[Mass2]],"Missing Data")</f>
        <v>0</v>
      </c>
      <c r="N9" s="41">
        <f>IFERROR(Tabela1318[[#This Row],[IXX1]]-Tabela1318[[#This Row],[IXX2]],"Missing Data")</f>
        <v>0</v>
      </c>
      <c r="O9" s="41">
        <f>IFERROR(Tabela1318[[#This Row],[IYY1]]-Tabela1318[[#This Row],[IYY2]],"Missing Data")</f>
        <v>0</v>
      </c>
      <c r="P9" s="41">
        <f>IFERROR(Tabela1318[[#This Row],[IZZ1]]-Tabela1318[[#This Row],[IZZ2]],"Missing Data")</f>
        <v>0</v>
      </c>
    </row>
    <row r="10" spans="1:17" s="2" customFormat="1" ht="25.25" customHeight="1" x14ac:dyDescent="0.45">
      <c r="D10" s="8" t="s">
        <v>128</v>
      </c>
      <c r="E10" s="39"/>
      <c r="F10" s="41"/>
      <c r="G10" s="41"/>
      <c r="H10" s="41"/>
      <c r="I10" s="39"/>
      <c r="J10" s="41"/>
      <c r="K10" s="41"/>
      <c r="L10" s="41"/>
      <c r="M10" s="39">
        <f>IFERROR(Tabela1318[[#This Row],[Mass1]]-Tabela1318[[#This Row],[Mass2]],"Missing Data")</f>
        <v>0</v>
      </c>
      <c r="N10" s="41">
        <f>IFERROR(Tabela1318[[#This Row],[IXX1]]-Tabela1318[[#This Row],[IXX2]],"Missing Data")</f>
        <v>0</v>
      </c>
      <c r="O10" s="41">
        <f>IFERROR(Tabela1318[[#This Row],[IYY1]]-Tabela1318[[#This Row],[IYY2]],"Missing Data")</f>
        <v>0</v>
      </c>
      <c r="P10" s="41">
        <f>IFERROR(Tabela1318[[#This Row],[IZZ1]]-Tabela1318[[#This Row],[IZZ2]],"Missing Data")</f>
        <v>0</v>
      </c>
    </row>
    <row r="11" spans="1:17" s="2" customFormat="1" ht="25.25" customHeight="1" x14ac:dyDescent="0.45">
      <c r="D11" s="8" t="s">
        <v>246</v>
      </c>
      <c r="E11" s="39"/>
      <c r="F11" s="41"/>
      <c r="G11" s="41"/>
      <c r="H11" s="41"/>
      <c r="I11" s="39"/>
      <c r="J11" s="41"/>
      <c r="K11" s="41"/>
      <c r="L11" s="41"/>
      <c r="M11" s="39">
        <f>IFERROR(Tabela1318[[#This Row],[Mass1]]-Tabela1318[[#This Row],[Mass2]],"Missing Data")</f>
        <v>0</v>
      </c>
      <c r="N11" s="41">
        <f>IFERROR(Tabela1318[[#This Row],[IXX1]]-Tabela1318[[#This Row],[IXX2]],"Missing Data")</f>
        <v>0</v>
      </c>
      <c r="O11" s="41">
        <f>IFERROR(Tabela1318[[#This Row],[IYY1]]-Tabela1318[[#This Row],[IYY2]],"Missing Data")</f>
        <v>0</v>
      </c>
      <c r="P11" s="41">
        <f>IFERROR(Tabela1318[[#This Row],[IZZ1]]-Tabela1318[[#This Row],[IZZ2]],"Missing Data")</f>
        <v>0</v>
      </c>
    </row>
    <row r="12" spans="1:17" s="2" customFormat="1" ht="25.25" customHeight="1" x14ac:dyDescent="0.45">
      <c r="D12" s="8" t="s">
        <v>247</v>
      </c>
      <c r="E12" s="39"/>
      <c r="F12" s="41"/>
      <c r="G12" s="41"/>
      <c r="H12" s="41"/>
      <c r="I12" s="39"/>
      <c r="J12" s="41"/>
      <c r="K12" s="41"/>
      <c r="L12" s="41"/>
      <c r="M12" s="39">
        <f>IFERROR(Tabela1318[[#This Row],[Mass1]]-Tabela1318[[#This Row],[Mass2]],"Missing Data")</f>
        <v>0</v>
      </c>
      <c r="N12" s="41">
        <f>IFERROR(Tabela1318[[#This Row],[IXX1]]-Tabela1318[[#This Row],[IXX2]],"Missing Data")</f>
        <v>0</v>
      </c>
      <c r="O12" s="41">
        <f>IFERROR(Tabela1318[[#This Row],[IYY1]]-Tabela1318[[#This Row],[IYY2]],"Missing Data")</f>
        <v>0</v>
      </c>
      <c r="P12" s="41">
        <f>IFERROR(Tabela1318[[#This Row],[IZZ1]]-Tabela1318[[#This Row],[IZZ2]],"Missing Data")</f>
        <v>0</v>
      </c>
    </row>
    <row r="13" spans="1:17" s="2" customFormat="1" ht="25.25" customHeight="1" x14ac:dyDescent="0.45">
      <c r="D13" s="8" t="s">
        <v>129</v>
      </c>
      <c r="E13" s="39"/>
      <c r="F13" s="41"/>
      <c r="G13" s="41"/>
      <c r="H13" s="41"/>
      <c r="I13" s="39"/>
      <c r="J13" s="41"/>
      <c r="K13" s="41"/>
      <c r="L13" s="41"/>
      <c r="M13" s="39">
        <f>IFERROR(Tabela1318[[#This Row],[Mass1]]-Tabela1318[[#This Row],[Mass2]],"Missing Data")</f>
        <v>0</v>
      </c>
      <c r="N13" s="41">
        <f>IFERROR(Tabela1318[[#This Row],[IXX1]]-Tabela1318[[#This Row],[IXX2]],"Missing Data")</f>
        <v>0</v>
      </c>
      <c r="O13" s="41">
        <f>IFERROR(Tabela1318[[#This Row],[IYY1]]-Tabela1318[[#This Row],[IYY2]],"Missing Data")</f>
        <v>0</v>
      </c>
      <c r="P13" s="41">
        <f>IFERROR(Tabela1318[[#This Row],[IZZ1]]-Tabela1318[[#This Row],[IZZ2]],"Missing Data")</f>
        <v>0</v>
      </c>
    </row>
    <row r="14" spans="1:17" s="2" customFormat="1" ht="25.25" customHeight="1" x14ac:dyDescent="0.45">
      <c r="D14" s="8" t="s">
        <v>130</v>
      </c>
      <c r="E14" s="39"/>
      <c r="F14" s="41"/>
      <c r="G14" s="41"/>
      <c r="H14" s="41"/>
      <c r="I14" s="39"/>
      <c r="J14" s="41"/>
      <c r="K14" s="41"/>
      <c r="L14" s="41"/>
      <c r="M14" s="39">
        <f>IFERROR(Tabela1318[[#This Row],[Mass1]]-Tabela1318[[#This Row],[Mass2]],"Missing Data")</f>
        <v>0</v>
      </c>
      <c r="N14" s="41">
        <f>IFERROR(Tabela1318[[#This Row],[IXX1]]-Tabela1318[[#This Row],[IXX2]],"Missing Data")</f>
        <v>0</v>
      </c>
      <c r="O14" s="41">
        <f>IFERROR(Tabela1318[[#This Row],[IYY1]]-Tabela1318[[#This Row],[IYY2]],"Missing Data")</f>
        <v>0</v>
      </c>
      <c r="P14" s="41">
        <f>IFERROR(Tabela1318[[#This Row],[IZZ1]]-Tabela1318[[#This Row],[IZZ2]],"Missing Data")</f>
        <v>0</v>
      </c>
    </row>
    <row r="16" spans="1:17" s="2" customFormat="1" ht="32" customHeight="1" x14ac:dyDescent="0.45">
      <c r="D16" s="10" t="s">
        <v>131</v>
      </c>
      <c r="E16" s="7" t="s">
        <v>110</v>
      </c>
      <c r="F16" s="40" t="s">
        <v>111</v>
      </c>
      <c r="G16" s="40" t="s">
        <v>112</v>
      </c>
      <c r="H16" s="40" t="s">
        <v>113</v>
      </c>
      <c r="I16" s="3" t="s">
        <v>114</v>
      </c>
      <c r="J16" s="44" t="s">
        <v>115</v>
      </c>
      <c r="K16" s="44" t="s">
        <v>116</v>
      </c>
      <c r="L16" s="44" t="s">
        <v>117</v>
      </c>
      <c r="M16" s="4" t="s">
        <v>118</v>
      </c>
      <c r="N16" s="46" t="s">
        <v>119</v>
      </c>
      <c r="O16" s="46" t="s">
        <v>120</v>
      </c>
      <c r="P16" s="46" t="s">
        <v>121</v>
      </c>
      <c r="Q16"/>
    </row>
    <row r="17" spans="4:17" s="2" customFormat="1" ht="25.25" customHeight="1" x14ac:dyDescent="0.45">
      <c r="D17" s="8" t="s">
        <v>122</v>
      </c>
      <c r="E17" s="39"/>
      <c r="F17" s="41"/>
      <c r="G17" s="41"/>
      <c r="H17" s="41"/>
      <c r="I17" s="39"/>
      <c r="J17" s="41"/>
      <c r="K17" s="41"/>
      <c r="L17" s="41"/>
      <c r="M17" s="39">
        <f>IFERROR(Tabela13419[[#This Row],[Mass1]]-Tabela13419[[#This Row],[Mass2]],"Missing Data")</f>
        <v>0</v>
      </c>
      <c r="N17" s="41">
        <f>IFERROR(Tabela13419[[#This Row],[IXX1]]-Tabela13419[[#This Row],[IXX2]],"Missing Data")</f>
        <v>0</v>
      </c>
      <c r="O17" s="41">
        <f>IFERROR(Tabela13419[[#This Row],[IYY1]]-Tabela13419[[#This Row],[IYY2]],"Missing Data")</f>
        <v>0</v>
      </c>
      <c r="P17" s="41">
        <f>IFERROR(Tabela13419[[#This Row],[IZZ1]]-Tabela13419[[#This Row],[IZZ2]],"Missing Data")</f>
        <v>0</v>
      </c>
      <c r="Q17" s="9"/>
    </row>
    <row r="18" spans="4:17" s="2" customFormat="1" ht="25.25" customHeight="1" x14ac:dyDescent="0.45">
      <c r="D18" s="8" t="s">
        <v>123</v>
      </c>
      <c r="E18" s="39"/>
      <c r="F18" s="41"/>
      <c r="G18" s="41"/>
      <c r="H18" s="41"/>
      <c r="I18" s="39"/>
      <c r="J18" s="41"/>
      <c r="K18" s="41"/>
      <c r="L18" s="41"/>
      <c r="M18" s="39">
        <f>IFERROR(Tabela13419[[#This Row],[Mass1]]-Tabela13419[[#This Row],[Mass2]],"Missing Data")</f>
        <v>0</v>
      </c>
      <c r="N18" s="41">
        <f>IFERROR(Tabela13419[[#This Row],[IXX1]]-Tabela13419[[#This Row],[IXX2]],"Missing Data")</f>
        <v>0</v>
      </c>
      <c r="O18" s="41">
        <f>IFERROR(Tabela13419[[#This Row],[IYY1]]-Tabela13419[[#This Row],[IYY2]],"Missing Data")</f>
        <v>0</v>
      </c>
      <c r="P18" s="41">
        <f>IFERROR(Tabela13419[[#This Row],[IZZ1]]-Tabela13419[[#This Row],[IZZ2]],"Missing Data")</f>
        <v>0</v>
      </c>
      <c r="Q18" s="9"/>
    </row>
    <row r="19" spans="4:17" s="2" customFormat="1" ht="25.25" customHeight="1" x14ac:dyDescent="0.45">
      <c r="D19" s="8" t="s">
        <v>248</v>
      </c>
      <c r="E19" s="39"/>
      <c r="F19" s="41"/>
      <c r="G19" s="41"/>
      <c r="H19" s="41"/>
      <c r="I19" s="39"/>
      <c r="J19" s="41"/>
      <c r="K19" s="41"/>
      <c r="L19" s="41"/>
      <c r="M19" s="39">
        <f>IFERROR(Tabela13419[[#This Row],[Mass1]]-Tabela13419[[#This Row],[Mass2]],"Missing Data")</f>
        <v>0</v>
      </c>
      <c r="N19" s="41">
        <f>IFERROR(Tabela13419[[#This Row],[IXX1]]-Tabela13419[[#This Row],[IXX2]],"Missing Data")</f>
        <v>0</v>
      </c>
      <c r="O19" s="41">
        <f>IFERROR(Tabela13419[[#This Row],[IYY1]]-Tabela13419[[#This Row],[IYY2]],"Missing Data")</f>
        <v>0</v>
      </c>
      <c r="P19" s="41">
        <f>IFERROR(Tabela13419[[#This Row],[IZZ1]]-Tabela13419[[#This Row],[IZZ2]],"Missing Data")</f>
        <v>0</v>
      </c>
      <c r="Q19" s="9"/>
    </row>
    <row r="20" spans="4:17" s="2" customFormat="1" ht="24.75" customHeight="1" x14ac:dyDescent="0.45">
      <c r="D20" s="8" t="s">
        <v>125</v>
      </c>
      <c r="E20" s="39"/>
      <c r="F20" s="41"/>
      <c r="G20" s="41"/>
      <c r="H20" s="41"/>
      <c r="I20" s="39"/>
      <c r="J20" s="41"/>
      <c r="K20" s="41"/>
      <c r="L20" s="41"/>
      <c r="M20" s="39">
        <f>IFERROR(Tabela13419[[#This Row],[Mass1]]-Tabela13419[[#This Row],[Mass2]],"Missing Data")</f>
        <v>0</v>
      </c>
      <c r="N20" s="41">
        <f>IFERROR(Tabela13419[[#This Row],[IXX1]]-Tabela13419[[#This Row],[IXX2]],"Missing Data")</f>
        <v>0</v>
      </c>
      <c r="O20" s="41">
        <f>IFERROR(Tabela13419[[#This Row],[IYY1]]-Tabela13419[[#This Row],[IYY2]],"Missing Data")</f>
        <v>0</v>
      </c>
      <c r="P20" s="41">
        <f>IFERROR(Tabela13419[[#This Row],[IZZ1]]-Tabela13419[[#This Row],[IZZ2]],"Missing Data")</f>
        <v>0</v>
      </c>
      <c r="Q20" s="9"/>
    </row>
    <row r="21" spans="4:17" s="2" customFormat="1" ht="25.25" customHeight="1" x14ac:dyDescent="0.45">
      <c r="D21" s="8" t="s">
        <v>126</v>
      </c>
      <c r="E21" s="39"/>
      <c r="F21" s="41"/>
      <c r="G21" s="41"/>
      <c r="H21" s="41"/>
      <c r="I21" s="39"/>
      <c r="J21" s="41"/>
      <c r="K21" s="41"/>
      <c r="L21" s="41"/>
      <c r="M21" s="39">
        <f>IFERROR(Tabela13419[[#This Row],[Mass1]]-Tabela13419[[#This Row],[Mass2]],"Missing Data")</f>
        <v>0</v>
      </c>
      <c r="N21" s="41">
        <f>IFERROR(Tabela13419[[#This Row],[IXX1]]-Tabela13419[[#This Row],[IXX2]],"Missing Data")</f>
        <v>0</v>
      </c>
      <c r="O21" s="41">
        <f>IFERROR(Tabela13419[[#This Row],[IYY1]]-Tabela13419[[#This Row],[IYY2]],"Missing Data")</f>
        <v>0</v>
      </c>
      <c r="P21" s="41">
        <f>IFERROR(Tabela13419[[#This Row],[IZZ1]]-Tabela13419[[#This Row],[IZZ2]],"Missing Data")</f>
        <v>0</v>
      </c>
      <c r="Q21" s="22" t="s">
        <v>132</v>
      </c>
    </row>
    <row r="22" spans="4:17" s="2" customFormat="1" ht="25.25" customHeight="1" x14ac:dyDescent="0.45">
      <c r="D22" s="8" t="s">
        <v>128</v>
      </c>
      <c r="E22" s="39"/>
      <c r="F22" s="41"/>
      <c r="G22" s="41"/>
      <c r="H22" s="41"/>
      <c r="I22" s="39"/>
      <c r="J22" s="41"/>
      <c r="K22" s="41"/>
      <c r="L22" s="41"/>
      <c r="M22" s="39">
        <f>IFERROR(Tabela13419[[#This Row],[Mass1]]-Tabela13419[[#This Row],[Mass2]],"Missing Data")</f>
        <v>0</v>
      </c>
      <c r="N22" s="41">
        <f>IFERROR(Tabela13419[[#This Row],[IXX1]]-Tabela13419[[#This Row],[IXX2]],"Missing Data")</f>
        <v>0</v>
      </c>
      <c r="O22" s="41">
        <f>IFERROR(Tabela13419[[#This Row],[IYY1]]-Tabela13419[[#This Row],[IYY2]],"Missing Data")</f>
        <v>0</v>
      </c>
      <c r="P22" s="41">
        <f>IFERROR(Tabela13419[[#This Row],[IZZ1]]-Tabela13419[[#This Row],[IZZ2]],"Missing Data")</f>
        <v>0</v>
      </c>
      <c r="Q22" s="22"/>
    </row>
    <row r="23" spans="4:17" s="2" customFormat="1" ht="25.25" customHeight="1" x14ac:dyDescent="0.45">
      <c r="D23" s="8" t="s">
        <v>249</v>
      </c>
      <c r="E23" s="39"/>
      <c r="F23" s="41"/>
      <c r="G23" s="41"/>
      <c r="H23" s="41"/>
      <c r="I23" s="39"/>
      <c r="J23" s="41"/>
      <c r="K23" s="41"/>
      <c r="L23" s="41"/>
      <c r="M23" s="39">
        <f>IFERROR(Tabela13419[[#This Row],[Mass1]]-Tabela13419[[#This Row],[Mass2]],"Missing Data")</f>
        <v>0</v>
      </c>
      <c r="N23" s="41">
        <f>IFERROR(Tabela13419[[#This Row],[IXX1]]-Tabela13419[[#This Row],[IXX2]],"Missing Data")</f>
        <v>0</v>
      </c>
      <c r="O23" s="41">
        <f>IFERROR(Tabela13419[[#This Row],[IYY1]]-Tabela13419[[#This Row],[IYY2]],"Missing Data")</f>
        <v>0</v>
      </c>
      <c r="P23" s="41">
        <f>IFERROR(Tabela13419[[#This Row],[IZZ1]]-Tabela13419[[#This Row],[IZZ2]],"Missing Data")</f>
        <v>0</v>
      </c>
      <c r="Q23" s="22"/>
    </row>
    <row r="24" spans="4:17" s="2" customFormat="1" ht="25.25" customHeight="1" x14ac:dyDescent="0.45">
      <c r="D24" s="8" t="s">
        <v>129</v>
      </c>
      <c r="E24" s="39"/>
      <c r="F24" s="41"/>
      <c r="G24" s="41"/>
      <c r="H24" s="41"/>
      <c r="I24" s="39"/>
      <c r="J24" s="41"/>
      <c r="K24" s="41"/>
      <c r="L24" s="41"/>
      <c r="M24" s="39">
        <f>IFERROR(Tabela13419[[#This Row],[Mass1]]-Tabela13419[[#This Row],[Mass2]],"Missing Data")</f>
        <v>0</v>
      </c>
      <c r="N24" s="41">
        <f>IFERROR(Tabela13419[[#This Row],[IXX1]]-Tabela13419[[#This Row],[IXX2]],"Missing Data")</f>
        <v>0</v>
      </c>
      <c r="O24" s="41">
        <f>IFERROR(Tabela13419[[#This Row],[IYY1]]-Tabela13419[[#This Row],[IYY2]],"Missing Data")</f>
        <v>0</v>
      </c>
      <c r="P24" s="41">
        <f>IFERROR(Tabela13419[[#This Row],[IZZ1]]-Tabela13419[[#This Row],[IZZ2]],"Missing Data")</f>
        <v>0</v>
      </c>
      <c r="Q24" s="22"/>
    </row>
    <row r="25" spans="4:17" s="2" customFormat="1" ht="25.25" customHeight="1" x14ac:dyDescent="0.45">
      <c r="D25" s="8" t="s">
        <v>130</v>
      </c>
      <c r="E25" s="39"/>
      <c r="F25" s="41"/>
      <c r="G25" s="41"/>
      <c r="H25" s="41"/>
      <c r="I25" s="39"/>
      <c r="J25" s="41"/>
      <c r="K25" s="41"/>
      <c r="L25" s="41"/>
      <c r="M25" s="39">
        <f>IFERROR(Tabela13419[[#This Row],[Mass1]]-Tabela13419[[#This Row],[Mass2]],"Missing Data")</f>
        <v>0</v>
      </c>
      <c r="N25" s="41">
        <f>IFERROR(Tabela13419[[#This Row],[IXX1]]-Tabela13419[[#This Row],[IXX2]],"Missing Data")</f>
        <v>0</v>
      </c>
      <c r="O25" s="41">
        <f>IFERROR(Tabela13419[[#This Row],[IYY1]]-Tabela13419[[#This Row],[IYY2]],"Missing Data")</f>
        <v>0</v>
      </c>
      <c r="P25" s="41">
        <f>IFERROR(Tabela13419[[#This Row],[IZZ1]]-Tabela13419[[#This Row],[IZZ2]],"Missing Data")</f>
        <v>0</v>
      </c>
      <c r="Q25" s="22"/>
    </row>
    <row r="26" spans="4:17" s="2" customFormat="1" ht="25.25" customHeight="1" x14ac:dyDescent="0.45">
      <c r="D26" s="8" t="s">
        <v>250</v>
      </c>
      <c r="E26" s="39"/>
      <c r="F26" s="41"/>
      <c r="G26" s="41"/>
      <c r="H26" s="41"/>
      <c r="I26" s="39"/>
      <c r="J26" s="41"/>
      <c r="K26" s="41"/>
      <c r="L26" s="41"/>
      <c r="M26" s="39">
        <f>IFERROR(Tabela13419[[#This Row],[Mass1]]-Tabela13419[[#This Row],[Mass2]],"Missing Data")</f>
        <v>0</v>
      </c>
      <c r="N26" s="41">
        <f>IFERROR(Tabela13419[[#This Row],[IXX1]]-Tabela13419[[#This Row],[IXX2]],"Missing Data")</f>
        <v>0</v>
      </c>
      <c r="O26" s="41">
        <f>IFERROR(Tabela13419[[#This Row],[IYY1]]-Tabela13419[[#This Row],[IYY2]],"Missing Data")</f>
        <v>0</v>
      </c>
      <c r="P26" s="41">
        <f>IFERROR(Tabela13419[[#This Row],[IZZ1]]-Tabela13419[[#This Row],[IZZ2]],"Missing Data")</f>
        <v>0</v>
      </c>
      <c r="Q26" s="22"/>
    </row>
    <row r="27" spans="4:17" s="2" customFormat="1" ht="25.25" customHeight="1" x14ac:dyDescent="0.45">
      <c r="D27" s="8" t="s">
        <v>251</v>
      </c>
      <c r="E27" s="39"/>
      <c r="F27" s="41"/>
      <c r="G27" s="41"/>
      <c r="H27" s="41"/>
      <c r="I27" s="39"/>
      <c r="J27" s="41"/>
      <c r="K27" s="41"/>
      <c r="L27" s="41"/>
      <c r="M27" s="39">
        <f>IFERROR(Tabela13419[[#This Row],[Mass1]]-Tabela13419[[#This Row],[Mass2]],"Missing Data")</f>
        <v>0</v>
      </c>
      <c r="N27" s="41">
        <f>IFERROR(Tabela13419[[#This Row],[IXX1]]-Tabela13419[[#This Row],[IXX2]],"Missing Data")</f>
        <v>0</v>
      </c>
      <c r="O27" s="41">
        <f>IFERROR(Tabela13419[[#This Row],[IYY1]]-Tabela13419[[#This Row],[IYY2]],"Missing Data")</f>
        <v>0</v>
      </c>
      <c r="P27" s="41">
        <f>IFERROR(Tabela13419[[#This Row],[IZZ1]]-Tabela13419[[#This Row],[IZZ2]],"Missing Data")</f>
        <v>0</v>
      </c>
      <c r="Q27" s="22"/>
    </row>
    <row r="29" spans="4:17" s="2" customFormat="1" ht="32" customHeight="1" x14ac:dyDescent="0.45">
      <c r="D29" s="10" t="s">
        <v>133</v>
      </c>
      <c r="E29" s="7" t="s">
        <v>110</v>
      </c>
      <c r="F29" s="40" t="s">
        <v>111</v>
      </c>
      <c r="G29" s="40" t="s">
        <v>112</v>
      </c>
      <c r="H29" s="40" t="s">
        <v>113</v>
      </c>
      <c r="I29" s="3" t="s">
        <v>114</v>
      </c>
      <c r="J29" s="44" t="s">
        <v>115</v>
      </c>
      <c r="K29" s="44" t="s">
        <v>116</v>
      </c>
      <c r="L29" s="44" t="s">
        <v>117</v>
      </c>
      <c r="M29" s="4" t="s">
        <v>118</v>
      </c>
      <c r="N29" s="46" t="s">
        <v>119</v>
      </c>
      <c r="O29" s="46" t="s">
        <v>120</v>
      </c>
      <c r="P29" s="46" t="s">
        <v>121</v>
      </c>
    </row>
    <row r="30" spans="4:17" s="2" customFormat="1" ht="24.75" customHeight="1" x14ac:dyDescent="0.45">
      <c r="D30" s="8" t="s">
        <v>134</v>
      </c>
      <c r="E30" s="39"/>
      <c r="F30" s="41"/>
      <c r="G30" s="41"/>
      <c r="H30" s="41"/>
      <c r="I30" s="39"/>
      <c r="J30" s="41"/>
      <c r="K30" s="41"/>
      <c r="L30" s="41"/>
      <c r="M30" s="39">
        <f>IFERROR(Tabela134520[[#This Row],[Mass1]]-Tabela134520[[#This Row],[Mass2]],"Missing Data")</f>
        <v>0</v>
      </c>
      <c r="N30" s="41">
        <f>IFERROR(Tabela134520[[#This Row],[IXX1]]-Tabela134520[[#This Row],[IXX2]],"Missing Data")</f>
        <v>0</v>
      </c>
      <c r="O30" s="41">
        <f>IFERROR(Tabela134520[[#This Row],[IYY1]]-Tabela134520[[#This Row],[IYY2]],"Missing Data")</f>
        <v>0</v>
      </c>
      <c r="P30" s="41">
        <f>IFERROR(Tabela134520[[#This Row],[IZZ1]]-Tabela134520[[#This Row],[IZZ2]],"Missing Data")</f>
        <v>0</v>
      </c>
    </row>
    <row r="31" spans="4:17" s="2" customFormat="1" ht="24.75" customHeight="1" x14ac:dyDescent="0.45">
      <c r="D31" s="8" t="s">
        <v>252</v>
      </c>
      <c r="E31" s="39"/>
      <c r="F31" s="41"/>
      <c r="G31" s="41"/>
      <c r="H31" s="41"/>
      <c r="I31" s="39"/>
      <c r="J31" s="41"/>
      <c r="K31" s="41"/>
      <c r="L31" s="41"/>
      <c r="M31" s="39">
        <f>IFERROR(Tabela134520[[#This Row],[Mass1]]-Tabela134520[[#This Row],[Mass2]],"Missing Data")</f>
        <v>0</v>
      </c>
      <c r="N31" s="41">
        <f>IFERROR(Tabela134520[[#This Row],[IXX1]]-Tabela134520[[#This Row],[IXX2]],"Missing Data")</f>
        <v>0</v>
      </c>
      <c r="O31" s="41">
        <f>IFERROR(Tabela134520[[#This Row],[IYY1]]-Tabela134520[[#This Row],[IYY2]],"Missing Data")</f>
        <v>0</v>
      </c>
      <c r="P31" s="41">
        <f>IFERROR(Tabela134520[[#This Row],[IZZ1]]-Tabela134520[[#This Row],[IZZ2]],"Missing Data")</f>
        <v>0</v>
      </c>
    </row>
    <row r="32" spans="4:17" s="2" customFormat="1" ht="24.75" customHeight="1" x14ac:dyDescent="0.45">
      <c r="D32" s="8" t="s">
        <v>253</v>
      </c>
      <c r="E32" s="39"/>
      <c r="F32" s="41"/>
      <c r="G32" s="41"/>
      <c r="H32" s="41"/>
      <c r="I32" s="39"/>
      <c r="J32" s="41"/>
      <c r="K32" s="41"/>
      <c r="L32" s="41"/>
      <c r="M32" s="39">
        <f>IFERROR(Tabela134520[[#This Row],[Mass1]]-Tabela134520[[#This Row],[Mass2]],"Missing Data")</f>
        <v>0</v>
      </c>
      <c r="N32" s="41">
        <f>IFERROR(Tabela134520[[#This Row],[IXX1]]-Tabela134520[[#This Row],[IXX2]],"Missing Data")</f>
        <v>0</v>
      </c>
      <c r="O32" s="41">
        <f>IFERROR(Tabela134520[[#This Row],[IYY1]]-Tabela134520[[#This Row],[IYY2]],"Missing Data")</f>
        <v>0</v>
      </c>
      <c r="P32" s="41">
        <f>IFERROR(Tabela134520[[#This Row],[IZZ1]]-Tabela134520[[#This Row],[IZZ2]],"Missing Data")</f>
        <v>0</v>
      </c>
    </row>
    <row r="33" spans="4:16" s="2" customFormat="1" ht="24.75" customHeight="1" x14ac:dyDescent="0.45">
      <c r="D33" s="8" t="s">
        <v>135</v>
      </c>
      <c r="E33" s="39"/>
      <c r="F33" s="41"/>
      <c r="G33" s="41"/>
      <c r="H33" s="41"/>
      <c r="I33" s="39"/>
      <c r="J33" s="41"/>
      <c r="K33" s="41"/>
      <c r="L33" s="41"/>
      <c r="M33" s="39">
        <f>IFERROR(Tabela134520[[#This Row],[Mass1]]-Tabela134520[[#This Row],[Mass2]],"Missing Data")</f>
        <v>0</v>
      </c>
      <c r="N33" s="41">
        <f>IFERROR(Tabela134520[[#This Row],[IXX1]]-Tabela134520[[#This Row],[IXX2]],"Missing Data")</f>
        <v>0</v>
      </c>
      <c r="O33" s="41">
        <f>IFERROR(Tabela134520[[#This Row],[IYY1]]-Tabela134520[[#This Row],[IYY2]],"Missing Data")</f>
        <v>0</v>
      </c>
      <c r="P33" s="41">
        <f>IFERROR(Tabela134520[[#This Row],[IZZ1]]-Tabela134520[[#This Row],[IZZ2]],"Missing Data")</f>
        <v>0</v>
      </c>
    </row>
    <row r="34" spans="4:16" s="2" customFormat="1" ht="24.75" customHeight="1" x14ac:dyDescent="0.45">
      <c r="D34" s="8" t="s">
        <v>136</v>
      </c>
      <c r="E34" s="39"/>
      <c r="F34" s="41"/>
      <c r="G34" s="41"/>
      <c r="H34" s="41"/>
      <c r="I34" s="39"/>
      <c r="J34" s="41"/>
      <c r="K34" s="41"/>
      <c r="L34" s="41"/>
      <c r="M34" s="39">
        <f>IFERROR(Tabela134520[[#This Row],[Mass1]]-Tabela134520[[#This Row],[Mass2]],"Missing Data")</f>
        <v>0</v>
      </c>
      <c r="N34" s="41">
        <f>IFERROR(Tabela134520[[#This Row],[IXX1]]-Tabela134520[[#This Row],[IXX2]],"Missing Data")</f>
        <v>0</v>
      </c>
      <c r="O34" s="41">
        <f>IFERROR(Tabela134520[[#This Row],[IYY1]]-Tabela134520[[#This Row],[IYY2]],"Missing Data")</f>
        <v>0</v>
      </c>
      <c r="P34" s="41">
        <f>IFERROR(Tabela134520[[#This Row],[IZZ1]]-Tabela134520[[#This Row],[IZZ2]],"Missing Data")</f>
        <v>0</v>
      </c>
    </row>
    <row r="35" spans="4:16" s="2" customFormat="1" ht="24.75" customHeight="1" x14ac:dyDescent="0.45">
      <c r="D35" s="8" t="s">
        <v>137</v>
      </c>
      <c r="E35" s="39"/>
      <c r="F35" s="41"/>
      <c r="G35" s="41"/>
      <c r="H35" s="41"/>
      <c r="I35" s="39"/>
      <c r="J35" s="41"/>
      <c r="K35" s="41"/>
      <c r="L35" s="41"/>
      <c r="M35" s="39">
        <f>IFERROR(Tabela134520[[#This Row],[Mass1]]-Tabela134520[[#This Row],[Mass2]],"Missing Data")</f>
        <v>0</v>
      </c>
      <c r="N35" s="41">
        <f>IFERROR(Tabela134520[[#This Row],[IXX1]]-Tabela134520[[#This Row],[IXX2]],"Missing Data")</f>
        <v>0</v>
      </c>
      <c r="O35" s="41">
        <f>IFERROR(Tabela134520[[#This Row],[IYY1]]-Tabela134520[[#This Row],[IYY2]],"Missing Data")</f>
        <v>0</v>
      </c>
      <c r="P35" s="41">
        <f>IFERROR(Tabela134520[[#This Row],[IZZ1]]-Tabela134520[[#This Row],[IZZ2]],"Missing Data")</f>
        <v>0</v>
      </c>
    </row>
    <row r="36" spans="4:16" s="2" customFormat="1" ht="24.75" customHeight="1" x14ac:dyDescent="0.45">
      <c r="D36" s="8" t="s">
        <v>138</v>
      </c>
      <c r="E36" s="39"/>
      <c r="F36" s="41"/>
      <c r="G36" s="41"/>
      <c r="H36" s="41"/>
      <c r="I36" s="39"/>
      <c r="J36" s="41"/>
      <c r="K36" s="41"/>
      <c r="L36" s="41"/>
      <c r="M36" s="39">
        <f>IFERROR(Tabela134520[[#This Row],[Mass1]]-Tabela134520[[#This Row],[Mass2]],"Missing Data")</f>
        <v>0</v>
      </c>
      <c r="N36" s="41">
        <f>IFERROR(Tabela134520[[#This Row],[IXX1]]-Tabela134520[[#This Row],[IXX2]],"Missing Data")</f>
        <v>0</v>
      </c>
      <c r="O36" s="41">
        <f>IFERROR(Tabela134520[[#This Row],[IYY1]]-Tabela134520[[#This Row],[IYY2]],"Missing Data")</f>
        <v>0</v>
      </c>
      <c r="P36" s="41">
        <f>IFERROR(Tabela134520[[#This Row],[IZZ1]]-Tabela134520[[#This Row],[IZZ2]],"Missing Data")</f>
        <v>0</v>
      </c>
    </row>
    <row r="37" spans="4:16" s="2" customFormat="1" ht="24.75" customHeight="1" x14ac:dyDescent="0.45">
      <c r="D37" s="8" t="s">
        <v>139</v>
      </c>
      <c r="E37" s="39"/>
      <c r="F37" s="41"/>
      <c r="G37" s="41"/>
      <c r="H37" s="41"/>
      <c r="I37" s="39"/>
      <c r="J37" s="41"/>
      <c r="K37" s="41"/>
      <c r="L37" s="41"/>
      <c r="M37" s="39">
        <f>IFERROR(Tabela134520[[#This Row],[Mass1]]-Tabela134520[[#This Row],[Mass2]],"Missing Data")</f>
        <v>0</v>
      </c>
      <c r="N37" s="41">
        <f>IFERROR(Tabela134520[[#This Row],[IXX1]]-Tabela134520[[#This Row],[IXX2]],"Missing Data")</f>
        <v>0</v>
      </c>
      <c r="O37" s="41">
        <f>IFERROR(Tabela134520[[#This Row],[IYY1]]-Tabela134520[[#This Row],[IYY2]],"Missing Data")</f>
        <v>0</v>
      </c>
      <c r="P37" s="41">
        <f>IFERROR(Tabela134520[[#This Row],[IZZ1]]-Tabela134520[[#This Row],[IZZ2]],"Missing Data")</f>
        <v>0</v>
      </c>
    </row>
    <row r="38" spans="4:16" s="2" customFormat="1" ht="24.75" customHeight="1" x14ac:dyDescent="0.45">
      <c r="D38" s="8" t="s">
        <v>140</v>
      </c>
      <c r="E38" s="39"/>
      <c r="F38" s="41"/>
      <c r="G38" s="41"/>
      <c r="H38" s="41"/>
      <c r="I38" s="39"/>
      <c r="J38" s="41"/>
      <c r="K38" s="41"/>
      <c r="L38" s="41"/>
      <c r="M38" s="39">
        <f>IFERROR(Tabela134520[[#This Row],[Mass1]]-Tabela134520[[#This Row],[Mass2]],"Missing Data")</f>
        <v>0</v>
      </c>
      <c r="N38" s="41">
        <f>IFERROR(Tabela134520[[#This Row],[IXX1]]-Tabela134520[[#This Row],[IXX2]],"Missing Data")</f>
        <v>0</v>
      </c>
      <c r="O38" s="41">
        <f>IFERROR(Tabela134520[[#This Row],[IYY1]]-Tabela134520[[#This Row],[IYY2]],"Missing Data")</f>
        <v>0</v>
      </c>
      <c r="P38" s="41">
        <f>IFERROR(Tabela134520[[#This Row],[IZZ1]]-Tabela134520[[#This Row],[IZZ2]],"Missing Data")</f>
        <v>0</v>
      </c>
    </row>
    <row r="40" spans="4:16" s="2" customFormat="1" ht="32" customHeight="1" x14ac:dyDescent="0.45">
      <c r="D40" s="10" t="s">
        <v>381</v>
      </c>
      <c r="E40" s="7" t="s">
        <v>110</v>
      </c>
      <c r="F40" s="40" t="s">
        <v>111</v>
      </c>
      <c r="G40" s="40" t="s">
        <v>112</v>
      </c>
      <c r="H40" s="40" t="s">
        <v>113</v>
      </c>
      <c r="I40" s="3" t="s">
        <v>114</v>
      </c>
      <c r="J40" s="44" t="s">
        <v>115</v>
      </c>
      <c r="K40" s="44" t="s">
        <v>116</v>
      </c>
      <c r="L40" s="44" t="s">
        <v>117</v>
      </c>
      <c r="M40" s="4" t="s">
        <v>118</v>
      </c>
      <c r="N40" s="46" t="s">
        <v>119</v>
      </c>
      <c r="O40" s="46" t="s">
        <v>120</v>
      </c>
      <c r="P40" s="46" t="s">
        <v>121</v>
      </c>
    </row>
    <row r="41" spans="4:16" s="2" customFormat="1" ht="24.75" customHeight="1" x14ac:dyDescent="0.45">
      <c r="D41" s="8" t="s">
        <v>165</v>
      </c>
      <c r="E41" s="39"/>
      <c r="F41" s="41"/>
      <c r="G41" s="41"/>
      <c r="H41" s="41"/>
      <c r="I41" s="39"/>
      <c r="J41" s="41"/>
      <c r="K41" s="41"/>
      <c r="L41" s="41"/>
      <c r="M41" s="39">
        <f>IFERROR(Tabela1345621[[#This Row],[Mass1]]-Tabela1345621[[#This Row],[Mass2]],"Missing Data")</f>
        <v>0</v>
      </c>
      <c r="N41" s="41">
        <f>IFERROR(Tabela1345621[[#This Row],[IXX1]]-Tabela1345621[[#This Row],[IXX2]],"Missing Data")</f>
        <v>0</v>
      </c>
      <c r="O41" s="41">
        <f>IFERROR(Tabela1345621[[#This Row],[IYY1]]-Tabela1345621[[#This Row],[IYY2]],"Missing Data")</f>
        <v>0</v>
      </c>
      <c r="P41" s="41">
        <f>IFERROR(Tabela1345621[[#This Row],[IZZ1]]-Tabela1345621[[#This Row],[IZZ2]],"Missing Data")</f>
        <v>0</v>
      </c>
    </row>
    <row r="42" spans="4:16" ht="14.65" thickBot="1" x14ac:dyDescent="0.5"/>
    <row r="43" spans="4:16" ht="32" customHeight="1" thickBot="1" x14ac:dyDescent="0.5">
      <c r="D43" s="100" t="s">
        <v>382</v>
      </c>
      <c r="E43" s="7" t="s">
        <v>110</v>
      </c>
      <c r="F43" s="40" t="s">
        <v>111</v>
      </c>
      <c r="G43" s="40" t="s">
        <v>112</v>
      </c>
      <c r="H43" s="40" t="s">
        <v>113</v>
      </c>
      <c r="I43" s="3" t="s">
        <v>114</v>
      </c>
      <c r="J43" s="44" t="s">
        <v>115</v>
      </c>
      <c r="K43" s="44" t="s">
        <v>116</v>
      </c>
      <c r="L43" s="44" t="s">
        <v>117</v>
      </c>
      <c r="M43" s="4" t="s">
        <v>118</v>
      </c>
      <c r="N43" s="46" t="s">
        <v>119</v>
      </c>
      <c r="O43" s="46" t="s">
        <v>120</v>
      </c>
      <c r="P43" s="46" t="s">
        <v>121</v>
      </c>
    </row>
    <row r="44" spans="4:16" ht="24.75" customHeight="1" x14ac:dyDescent="0.45">
      <c r="D44" s="96" t="s">
        <v>165</v>
      </c>
      <c r="E44" s="97"/>
      <c r="F44" s="98"/>
      <c r="G44" s="98"/>
      <c r="H44" s="98"/>
      <c r="I44" s="97"/>
      <c r="J44" s="98"/>
      <c r="K44" s="98"/>
      <c r="L44" s="98"/>
      <c r="M44" s="97">
        <f>Tabela8[[#This Row],[Mass1]]-Tabela8[[#This Row],[Mass2]]</f>
        <v>0</v>
      </c>
      <c r="N44" s="98">
        <f>Tabela8[[#This Row],[IXX1]]-Tabela8[[#This Row],[IXX2]]</f>
        <v>0</v>
      </c>
      <c r="O44" s="98">
        <f>Tabela8[[#This Row],[IYY1]]-Tabela8[[#This Row],[IYY2]]</f>
        <v>0</v>
      </c>
      <c r="P44" s="99">
        <f>Tabela8[[#This Row],[IZZ1]]-Tabela8[[#This Row],[IZZ2]]</f>
        <v>0</v>
      </c>
    </row>
    <row r="46" spans="4:16" ht="32" customHeight="1" x14ac:dyDescent="0.45">
      <c r="D46" s="10" t="s">
        <v>141</v>
      </c>
      <c r="E46" s="37" t="s">
        <v>110</v>
      </c>
      <c r="F46" s="42" t="s">
        <v>111</v>
      </c>
      <c r="G46" s="42" t="s">
        <v>112</v>
      </c>
      <c r="H46" s="42" t="s">
        <v>113</v>
      </c>
      <c r="I46" s="38" t="s">
        <v>114</v>
      </c>
      <c r="J46" s="45" t="s">
        <v>115</v>
      </c>
      <c r="K46" s="45" t="s">
        <v>116</v>
      </c>
      <c r="L46" s="45" t="s">
        <v>117</v>
      </c>
      <c r="M46" s="4" t="s">
        <v>118</v>
      </c>
      <c r="N46" s="46" t="s">
        <v>119</v>
      </c>
      <c r="O46" s="46" t="s">
        <v>120</v>
      </c>
      <c r="P46" s="46" t="s">
        <v>121</v>
      </c>
    </row>
    <row r="47" spans="4:16" ht="24.75" customHeight="1" x14ac:dyDescent="0.45">
      <c r="D47" s="8" t="s">
        <v>142</v>
      </c>
      <c r="E47" s="39"/>
      <c r="F47" s="41"/>
      <c r="G47" s="41"/>
      <c r="H47" s="41"/>
      <c r="I47" s="39"/>
      <c r="J47" s="41"/>
      <c r="K47" s="41"/>
      <c r="L47" s="41"/>
      <c r="M47" s="39">
        <f>IFERROR(Tabela13456722[[#This Row],[Mass1]]-Tabela13456722[[#This Row],[Mass2]],"Missing Data")</f>
        <v>0</v>
      </c>
      <c r="N47" s="41">
        <f>IFERROR(Tabela13456722[[#This Row],[IXX1]]-Tabela13456722[[#This Row],[IXX2]],"Missing Data")</f>
        <v>0</v>
      </c>
      <c r="O47" s="41">
        <f>IFERROR(Tabela13456722[[#This Row],[IYY1]]-Tabela13456722[[#This Row],[IYY2]],"Missing Data")</f>
        <v>0</v>
      </c>
      <c r="P47" s="41">
        <f>IFERROR(Tabela13456722[[#This Row],[IZZ1]]-Tabela13456722[[#This Row],[IZZ2]],"Missing Data")</f>
        <v>0</v>
      </c>
    </row>
    <row r="48" spans="4:16" ht="24.75" customHeight="1" x14ac:dyDescent="0.45">
      <c r="D48" s="8" t="s">
        <v>143</v>
      </c>
      <c r="E48" s="39"/>
      <c r="F48" s="41"/>
      <c r="G48" s="41"/>
      <c r="H48" s="41"/>
      <c r="I48" s="39"/>
      <c r="J48" s="41"/>
      <c r="K48" s="41"/>
      <c r="L48" s="41"/>
      <c r="M48" s="39">
        <f>IFERROR(Tabela13456722[[#This Row],[Mass1]]-Tabela13456722[[#This Row],[Mass2]],"Missing Data")</f>
        <v>0</v>
      </c>
      <c r="N48" s="41">
        <f>IFERROR(Tabela13456722[[#This Row],[IXX1]]-Tabela13456722[[#This Row],[IXX2]],"Missing Data")</f>
        <v>0</v>
      </c>
      <c r="O48" s="41">
        <f>IFERROR(Tabela13456722[[#This Row],[IYY1]]-Tabela13456722[[#This Row],[IYY2]],"Missing Data")</f>
        <v>0</v>
      </c>
      <c r="P48" s="41">
        <f>IFERROR(Tabela13456722[[#This Row],[IZZ1]]-Tabela13456722[[#This Row],[IZZ2]],"Missing Data")</f>
        <v>0</v>
      </c>
    </row>
    <row r="50" spans="4:16" ht="32" customHeight="1" x14ac:dyDescent="0.45">
      <c r="D50" s="10" t="s">
        <v>144</v>
      </c>
      <c r="E50" s="7" t="s">
        <v>110</v>
      </c>
      <c r="F50" s="40" t="s">
        <v>111</v>
      </c>
      <c r="G50" s="40" t="s">
        <v>112</v>
      </c>
      <c r="H50" s="40" t="s">
        <v>113</v>
      </c>
      <c r="I50" s="3" t="s">
        <v>114</v>
      </c>
      <c r="J50" s="44" t="s">
        <v>115</v>
      </c>
      <c r="K50" s="44" t="s">
        <v>116</v>
      </c>
      <c r="L50" s="44" t="s">
        <v>117</v>
      </c>
      <c r="M50" s="4" t="s">
        <v>118</v>
      </c>
      <c r="N50" s="46" t="s">
        <v>119</v>
      </c>
      <c r="O50" s="46" t="s">
        <v>120</v>
      </c>
      <c r="P50" s="46" t="s">
        <v>121</v>
      </c>
    </row>
    <row r="51" spans="4:16" ht="24.75" customHeight="1" x14ac:dyDescent="0.45">
      <c r="D51" s="8" t="s">
        <v>254</v>
      </c>
      <c r="E51" s="39"/>
      <c r="F51" s="41"/>
      <c r="G51" s="41"/>
      <c r="H51" s="41"/>
      <c r="I51" s="39"/>
      <c r="J51" s="41"/>
      <c r="K51" s="41"/>
      <c r="L51" s="41"/>
      <c r="M51" s="39">
        <f>IFERROR(Tabela134567823[[#This Row],[Mass1]]-Tabela134567823[[#This Row],[Mass2]],"Missing Data")</f>
        <v>0</v>
      </c>
      <c r="N51" s="41">
        <f>IFERROR(Tabela134567823[[#This Row],[IXX1]]-Tabela134567823[[#This Row],[IXX2]],"Missing Data")</f>
        <v>0</v>
      </c>
      <c r="O51" s="41">
        <f>IFERROR(Tabela134567823[[#This Row],[IYY1]]-Tabela134567823[[#This Row],[IYY2]],"Missing Data")</f>
        <v>0</v>
      </c>
      <c r="P51" s="41">
        <f>IFERROR(Tabela134567823[[#This Row],[IZZ1]]-Tabela134567823[[#This Row],[IZZ2]],"Missing Data")</f>
        <v>0</v>
      </c>
    </row>
    <row r="52" spans="4:16" ht="24.75" customHeight="1" x14ac:dyDescent="0.45">
      <c r="D52" s="8" t="s">
        <v>255</v>
      </c>
      <c r="E52" s="39"/>
      <c r="F52" s="41"/>
      <c r="G52" s="41"/>
      <c r="H52" s="41"/>
      <c r="I52" s="39"/>
      <c r="J52" s="41"/>
      <c r="K52" s="41"/>
      <c r="L52" s="41"/>
      <c r="M52" s="39">
        <f>IFERROR(Tabela134567823[[#This Row],[Mass1]]-Tabela134567823[[#This Row],[Mass2]],"Missing Data")</f>
        <v>0</v>
      </c>
      <c r="N52" s="41">
        <f>IFERROR(Tabela134567823[[#This Row],[IXX1]]-Tabela134567823[[#This Row],[IXX2]],"Missing Data")</f>
        <v>0</v>
      </c>
      <c r="O52" s="41">
        <f>IFERROR(Tabela134567823[[#This Row],[IYY1]]-Tabela134567823[[#This Row],[IYY2]],"Missing Data")</f>
        <v>0</v>
      </c>
      <c r="P52" s="41">
        <f>IFERROR(Tabela134567823[[#This Row],[IZZ1]]-Tabela134567823[[#This Row],[IZZ2]],"Missing Data")</f>
        <v>0</v>
      </c>
    </row>
    <row r="53" spans="4:16" ht="24.75" customHeight="1" x14ac:dyDescent="0.45">
      <c r="D53" s="8" t="s">
        <v>145</v>
      </c>
      <c r="E53" s="39"/>
      <c r="F53" s="41"/>
      <c r="G53" s="41"/>
      <c r="H53" s="41"/>
      <c r="I53" s="39"/>
      <c r="J53" s="41"/>
      <c r="K53" s="41"/>
      <c r="L53" s="41"/>
      <c r="M53" s="39">
        <f>IFERROR(Tabela134567823[[#This Row],[Mass1]]-Tabela134567823[[#This Row],[Mass2]],"Missing Data")</f>
        <v>0</v>
      </c>
      <c r="N53" s="41">
        <f>IFERROR(Tabela134567823[[#This Row],[IXX1]]-Tabela134567823[[#This Row],[IXX2]],"Missing Data")</f>
        <v>0</v>
      </c>
      <c r="O53" s="41">
        <f>IFERROR(Tabela134567823[[#This Row],[IYY1]]-Tabela134567823[[#This Row],[IYY2]],"Missing Data")</f>
        <v>0</v>
      </c>
      <c r="P53" s="41">
        <f>IFERROR(Tabela134567823[[#This Row],[IZZ1]]-Tabela134567823[[#This Row],[IZZ2]],"Missing Data")</f>
        <v>0</v>
      </c>
    </row>
    <row r="54" spans="4:16" ht="24.75" customHeight="1" x14ac:dyDescent="0.45">
      <c r="D54" s="8" t="s">
        <v>256</v>
      </c>
      <c r="E54" s="39"/>
      <c r="F54" s="41"/>
      <c r="G54" s="41"/>
      <c r="H54" s="41"/>
      <c r="I54" s="39"/>
      <c r="J54" s="41"/>
      <c r="K54" s="41"/>
      <c r="L54" s="41"/>
      <c r="M54" s="39">
        <f>IFERROR(Tabela134567823[[#This Row],[Mass1]]-Tabela134567823[[#This Row],[Mass2]],"Missing Data")</f>
        <v>0</v>
      </c>
      <c r="N54" s="41">
        <f>IFERROR(Tabela134567823[[#This Row],[IXX1]]-Tabela134567823[[#This Row],[IXX2]],"Missing Data")</f>
        <v>0</v>
      </c>
      <c r="O54" s="41">
        <f>IFERROR(Tabela134567823[[#This Row],[IYY1]]-Tabela134567823[[#This Row],[IYY2]],"Missing Data")</f>
        <v>0</v>
      </c>
      <c r="P54" s="41">
        <f>IFERROR(Tabela134567823[[#This Row],[IZZ1]]-Tabela134567823[[#This Row],[IZZ2]],"Missing Data")</f>
        <v>0</v>
      </c>
    </row>
    <row r="55" spans="4:16" ht="24.75" customHeight="1" x14ac:dyDescent="0.45">
      <c r="D55" s="8" t="s">
        <v>257</v>
      </c>
      <c r="E55" s="39"/>
      <c r="F55" s="41"/>
      <c r="G55" s="41"/>
      <c r="H55" s="41"/>
      <c r="I55" s="39"/>
      <c r="J55" s="41"/>
      <c r="K55" s="41"/>
      <c r="L55" s="41"/>
      <c r="M55" s="39">
        <f>IFERROR(Tabela134567823[[#This Row],[Mass1]]-Tabela134567823[[#This Row],[Mass2]],"Missing Data")</f>
        <v>0</v>
      </c>
      <c r="N55" s="41">
        <f>IFERROR(Tabela134567823[[#This Row],[IXX1]]-Tabela134567823[[#This Row],[IXX2]],"Missing Data")</f>
        <v>0</v>
      </c>
      <c r="O55" s="41">
        <f>IFERROR(Tabela134567823[[#This Row],[IYY1]]-Tabela134567823[[#This Row],[IYY2]],"Missing Data")</f>
        <v>0</v>
      </c>
      <c r="P55" s="41">
        <f>IFERROR(Tabela134567823[[#This Row],[IZZ1]]-Tabela134567823[[#This Row],[IZZ2]],"Missing Data")</f>
        <v>0</v>
      </c>
    </row>
    <row r="56" spans="4:16" ht="24.75" customHeight="1" x14ac:dyDescent="0.45">
      <c r="D56" s="8" t="s">
        <v>258</v>
      </c>
      <c r="E56" s="39"/>
      <c r="F56" s="41"/>
      <c r="G56" s="41"/>
      <c r="H56" s="41"/>
      <c r="I56" s="39"/>
      <c r="J56" s="41"/>
      <c r="K56" s="41"/>
      <c r="L56" s="41"/>
      <c r="M56" s="39">
        <f>IFERROR(Tabela134567823[[#This Row],[Mass1]]-Tabela134567823[[#This Row],[Mass2]],"Missing Data")</f>
        <v>0</v>
      </c>
      <c r="N56" s="41">
        <f>IFERROR(Tabela134567823[[#This Row],[IXX1]]-Tabela134567823[[#This Row],[IXX2]],"Missing Data")</f>
        <v>0</v>
      </c>
      <c r="O56" s="41">
        <f>IFERROR(Tabela134567823[[#This Row],[IYY1]]-Tabela134567823[[#This Row],[IYY2]],"Missing Data")</f>
        <v>0</v>
      </c>
      <c r="P56" s="41">
        <f>IFERROR(Tabela134567823[[#This Row],[IZZ1]]-Tabela134567823[[#This Row],[IZZ2]],"Missing Data")</f>
        <v>0</v>
      </c>
    </row>
    <row r="57" spans="4:16" ht="24.75" customHeight="1" x14ac:dyDescent="0.45">
      <c r="D57" s="8" t="s">
        <v>259</v>
      </c>
      <c r="E57" s="39"/>
      <c r="F57" s="41"/>
      <c r="G57" s="41"/>
      <c r="H57" s="41"/>
      <c r="I57" s="39"/>
      <c r="J57" s="41"/>
      <c r="K57" s="41"/>
      <c r="L57" s="41"/>
      <c r="M57" s="39">
        <f>IFERROR(Tabela134567823[[#This Row],[Mass1]]-Tabela134567823[[#This Row],[Mass2]],"Missing Data")</f>
        <v>0</v>
      </c>
      <c r="N57" s="41">
        <f>IFERROR(Tabela134567823[[#This Row],[IXX1]]-Tabela134567823[[#This Row],[IXX2]],"Missing Data")</f>
        <v>0</v>
      </c>
      <c r="O57" s="41">
        <f>IFERROR(Tabela134567823[[#This Row],[IYY1]]-Tabela134567823[[#This Row],[IYY2]],"Missing Data")</f>
        <v>0</v>
      </c>
      <c r="P57" s="41">
        <f>IFERROR(Tabela134567823[[#This Row],[IZZ1]]-Tabela134567823[[#This Row],[IZZ2]],"Missing Data")</f>
        <v>0</v>
      </c>
    </row>
    <row r="58" spans="4:16" ht="24.75" customHeight="1" x14ac:dyDescent="0.45">
      <c r="D58" s="8" t="s">
        <v>260</v>
      </c>
      <c r="E58" s="39"/>
      <c r="F58" s="41"/>
      <c r="G58" s="41"/>
      <c r="H58" s="41"/>
      <c r="I58" s="39"/>
      <c r="J58" s="41"/>
      <c r="K58" s="41"/>
      <c r="L58" s="41"/>
      <c r="M58" s="39">
        <f>IFERROR(Tabela134567823[[#This Row],[Mass1]]-Tabela134567823[[#This Row],[Mass2]],"Missing Data")</f>
        <v>0</v>
      </c>
      <c r="N58" s="41">
        <f>IFERROR(Tabela134567823[[#This Row],[IXX1]]-Tabela134567823[[#This Row],[IXX2]],"Missing Data")</f>
        <v>0</v>
      </c>
      <c r="O58" s="41">
        <f>IFERROR(Tabela134567823[[#This Row],[IYY1]]-Tabela134567823[[#This Row],[IYY2]],"Missing Data")</f>
        <v>0</v>
      </c>
      <c r="P58" s="41">
        <f>IFERROR(Tabela134567823[[#This Row],[IZZ1]]-Tabela134567823[[#This Row],[IZZ2]],"Missing Data")</f>
        <v>0</v>
      </c>
    </row>
    <row r="60" spans="4:16" ht="32" customHeight="1" x14ac:dyDescent="0.45">
      <c r="D60" s="10" t="s">
        <v>383</v>
      </c>
      <c r="E60" s="37" t="s">
        <v>110</v>
      </c>
      <c r="F60" s="42" t="s">
        <v>111</v>
      </c>
      <c r="G60" s="42" t="s">
        <v>112</v>
      </c>
      <c r="H60" s="42" t="s">
        <v>113</v>
      </c>
      <c r="I60" s="38" t="s">
        <v>114</v>
      </c>
      <c r="J60" s="45" t="s">
        <v>115</v>
      </c>
      <c r="K60" s="45" t="s">
        <v>116</v>
      </c>
      <c r="L60" s="45" t="s">
        <v>117</v>
      </c>
      <c r="M60" s="4" t="s">
        <v>118</v>
      </c>
      <c r="N60" s="46" t="s">
        <v>119</v>
      </c>
      <c r="O60" s="46" t="s">
        <v>120</v>
      </c>
      <c r="P60" s="46" t="s">
        <v>121</v>
      </c>
    </row>
    <row r="61" spans="4:16" ht="24.75" customHeight="1" x14ac:dyDescent="0.45">
      <c r="D61" s="8" t="s">
        <v>142</v>
      </c>
      <c r="E61" s="39"/>
      <c r="F61" s="41"/>
      <c r="G61" s="41"/>
      <c r="H61" s="41"/>
      <c r="I61" s="39"/>
      <c r="J61" s="41"/>
      <c r="K61" s="41"/>
      <c r="L61" s="41"/>
      <c r="M61" s="39">
        <f>IFERROR(Tabela1345672211[[#This Row],[Mass1]]-Tabela1345672211[[#This Row],[Mass2]],"Missing Data")</f>
        <v>0</v>
      </c>
      <c r="N61" s="41">
        <f>IFERROR(Tabela1345672211[[#This Row],[IXX1]]-Tabela1345672211[[#This Row],[IXX2]],"Missing Data")</f>
        <v>0</v>
      </c>
      <c r="O61" s="41">
        <f>IFERROR(Tabela1345672211[[#This Row],[IYY1]]-Tabela1345672211[[#This Row],[IYY2]],"Missing Data")</f>
        <v>0</v>
      </c>
      <c r="P61" s="41">
        <f>IFERROR(Tabela1345672211[[#This Row],[IZZ1]]-Tabela1345672211[[#This Row],[IZZ2]],"Missing Data")</f>
        <v>0</v>
      </c>
    </row>
    <row r="62" spans="4:16" ht="24.75" customHeight="1" x14ac:dyDescent="0.45">
      <c r="D62" s="8" t="s">
        <v>143</v>
      </c>
      <c r="E62" s="39"/>
      <c r="F62" s="41"/>
      <c r="G62" s="41"/>
      <c r="H62" s="41"/>
      <c r="I62" s="39"/>
      <c r="J62" s="41"/>
      <c r="K62" s="41"/>
      <c r="L62" s="41"/>
      <c r="M62" s="39">
        <f>IFERROR(Tabela1345672211[[#This Row],[Mass1]]-Tabela1345672211[[#This Row],[Mass2]],"Missing Data")</f>
        <v>0</v>
      </c>
      <c r="N62" s="41">
        <f>IFERROR(Tabela1345672211[[#This Row],[IXX1]]-Tabela1345672211[[#This Row],[IXX2]],"Missing Data")</f>
        <v>0</v>
      </c>
      <c r="O62" s="41">
        <f>IFERROR(Tabela1345672211[[#This Row],[IYY1]]-Tabela1345672211[[#This Row],[IYY2]],"Missing Data")</f>
        <v>0</v>
      </c>
      <c r="P62" s="41">
        <f>IFERROR(Tabela1345672211[[#This Row],[IZZ1]]-Tabela1345672211[[#This Row],[IZZ2]],"Missing Data")</f>
        <v>0</v>
      </c>
    </row>
  </sheetData>
  <conditionalFormatting sqref="E2:M14">
    <cfRule type="expression" dxfId="35" priority="29">
      <formula>$M2=0</formula>
    </cfRule>
    <cfRule type="expression" dxfId="34" priority="30">
      <formula>$M2&lt;&gt;0</formula>
    </cfRule>
  </conditionalFormatting>
  <conditionalFormatting sqref="E17:M27">
    <cfRule type="expression" dxfId="33" priority="27">
      <formula>$M17=0</formula>
    </cfRule>
    <cfRule type="expression" dxfId="32" priority="28">
      <formula>$M17&lt;&gt;0</formula>
    </cfRule>
  </conditionalFormatting>
  <conditionalFormatting sqref="E30:M38">
    <cfRule type="expression" dxfId="31" priority="25">
      <formula>$M30=0</formula>
    </cfRule>
    <cfRule type="expression" dxfId="30" priority="26">
      <formula>$M30&lt;&gt;0</formula>
    </cfRule>
  </conditionalFormatting>
  <conditionalFormatting sqref="E41:M41">
    <cfRule type="expression" dxfId="29" priority="23">
      <formula>$M41=0</formula>
    </cfRule>
    <cfRule type="expression" dxfId="28" priority="24">
      <formula>$M41&lt;&gt;0</formula>
    </cfRule>
  </conditionalFormatting>
  <conditionalFormatting sqref="E44:M44">
    <cfRule type="expression" dxfId="27" priority="9">
      <formula>$M44=0</formula>
    </cfRule>
    <cfRule type="expression" dxfId="26" priority="10">
      <formula>$M44&lt;&gt;0</formula>
    </cfRule>
  </conditionalFormatting>
  <conditionalFormatting sqref="E47:M48">
    <cfRule type="expression" dxfId="25" priority="7">
      <formula>$M47=0</formula>
    </cfRule>
    <cfRule type="expression" dxfId="24" priority="8">
      <formula>$M47&lt;&gt;0</formula>
    </cfRule>
  </conditionalFormatting>
  <conditionalFormatting sqref="E51:M58">
    <cfRule type="expression" dxfId="23" priority="5">
      <formula>$M51=0</formula>
    </cfRule>
    <cfRule type="expression" dxfId="22" priority="6">
      <formula>$M51&lt;&gt;0</formula>
    </cfRule>
  </conditionalFormatting>
  <conditionalFormatting sqref="E62:M62 E61:L61">
    <cfRule type="expression" dxfId="21" priority="3">
      <formula>$M61=0</formula>
    </cfRule>
    <cfRule type="expression" dxfId="20" priority="4">
      <formula>$M61&lt;&gt;0</formula>
    </cfRule>
  </conditionalFormatting>
  <conditionalFormatting sqref="M61">
    <cfRule type="expression" dxfId="19" priority="1">
      <formula>$M61=0</formula>
    </cfRule>
    <cfRule type="expression" dxfId="18" priority="2">
      <formula>$M61&lt;&gt;0</formula>
    </cfRule>
  </conditionalFormatting>
  <pageMargins left="0.511811024" right="0.511811024" top="0.78740157499999996" bottom="0.78740157499999996" header="0.31496062000000002" footer="0.31496062000000002"/>
  <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79CE0D-FDC9-4BAA-83AC-FB771284FD40}">
          <x14:formula1>
            <xm:f>Listas!$A$2:$A$968</xm:f>
          </x14:formula1>
          <xm:sqref>B4:B6</xm:sqref>
        </x14:dataValidation>
        <x14:dataValidation type="list" allowBlank="1" showInputMessage="1" showErrorMessage="1" xr:uid="{12EBB63A-5616-4D55-9A53-1B83FFCA8D6A}">
          <x14:formula1>
            <xm:f>Listas!$A$3:$A$968</xm:f>
          </x14:formula1>
          <xm:sqref>B2:B3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28E4F-D258-436E-97FE-DD394B381372}">
  <sheetPr codeName="Folha6">
    <tabColor rgb="FF92D050"/>
  </sheetPr>
  <dimension ref="A1:O132"/>
  <sheetViews>
    <sheetView showGridLines="0" tabSelected="1" zoomScale="60" zoomScaleNormal="60" workbookViewId="0">
      <selection activeCell="B20" sqref="B20"/>
    </sheetView>
  </sheetViews>
  <sheetFormatPr defaultRowHeight="22.5" x14ac:dyDescent="0.45"/>
  <cols>
    <col min="1" max="1" width="20.46484375" bestFit="1" customWidth="1"/>
    <col min="2" max="2" width="35.265625" bestFit="1" customWidth="1"/>
    <col min="3" max="3" width="5.1328125" customWidth="1"/>
    <col min="4" max="4" width="44.33203125" style="78" customWidth="1"/>
    <col min="5" max="5" width="15.796875" style="78" customWidth="1"/>
    <col min="6" max="6" width="30.796875" style="79" hidden="1" customWidth="1"/>
    <col min="7" max="7" width="30.796875" style="79" customWidth="1"/>
    <col min="8" max="8" width="60.796875" style="9" customWidth="1"/>
    <col min="9" max="9" width="15.796875" style="78" customWidth="1"/>
    <col min="10" max="10" width="30.796875" style="78" hidden="1" customWidth="1"/>
    <col min="11" max="11" width="30.796875" style="78" customWidth="1"/>
    <col min="12" max="12" width="60.796875" style="9" customWidth="1"/>
    <col min="13" max="15" width="20.796875" style="78" customWidth="1"/>
  </cols>
  <sheetData>
    <row r="1" spans="1:15" s="2" customFormat="1" ht="32" customHeight="1" x14ac:dyDescent="0.45">
      <c r="D1" s="10" t="s">
        <v>384</v>
      </c>
      <c r="E1" s="7" t="s">
        <v>16</v>
      </c>
      <c r="F1" s="7" t="s">
        <v>263</v>
      </c>
      <c r="G1" s="7" t="s">
        <v>370</v>
      </c>
      <c r="H1" s="84" t="s">
        <v>371</v>
      </c>
      <c r="I1" s="3" t="s">
        <v>20</v>
      </c>
      <c r="J1" s="3" t="s">
        <v>368</v>
      </c>
      <c r="K1" s="3" t="s">
        <v>372</v>
      </c>
      <c r="L1" s="85" t="s">
        <v>375</v>
      </c>
      <c r="M1" s="4" t="s">
        <v>369</v>
      </c>
      <c r="N1" s="4" t="s">
        <v>374</v>
      </c>
      <c r="O1" s="4" t="s">
        <v>373</v>
      </c>
    </row>
    <row r="2" spans="1:15" s="2" customFormat="1" ht="25.25" customHeight="1" x14ac:dyDescent="0.45">
      <c r="A2" s="5" t="s">
        <v>31</v>
      </c>
      <c r="B2" s="5" t="s">
        <v>482</v>
      </c>
      <c r="D2" s="8" t="s">
        <v>264</v>
      </c>
      <c r="E2" s="39"/>
      <c r="F2" s="41"/>
      <c r="G2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" s="9" t="str">
        <f>IFERROR(_xlfn.TEXTAFTER(Tabela131830[[#This Row],[File Name]], "/", -1),"")</f>
        <v/>
      </c>
      <c r="I2" s="41"/>
      <c r="J2" s="41"/>
      <c r="K2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" s="9" t="str">
        <f>IFERROR(_xlfn.TEXTAFTER(Tabela131830[[#This Row],[File Name2]], "/", -1),"")</f>
        <v/>
      </c>
      <c r="M2" s="41" t="str">
        <f>IF(Tabela131830[[#This Row],[Symmetry]]="","",Tabela131830[[#This Row],[Symmetry]]=Tabela131830[[#This Row],[Symmetry2]])</f>
        <v/>
      </c>
      <c r="N2" s="41" t="str">
        <f>IF(Tabela131830[[#This Row],[Database]]="","",Tabela131830[[#This Row],[Database]]=Tabela131830[[#This Row],[Database2]])</f>
        <v/>
      </c>
      <c r="O2" s="41" t="str">
        <f>IF(Tabela131830[[#This Row],[File]]="","",Tabela131830[[#This Row],[File]]=Tabela131830[[#This Row],[File2]])</f>
        <v/>
      </c>
    </row>
    <row r="3" spans="1:15" s="2" customFormat="1" ht="25.25" customHeight="1" x14ac:dyDescent="0.45">
      <c r="A3" s="6" t="s">
        <v>34</v>
      </c>
      <c r="B3" s="6" t="s">
        <v>483</v>
      </c>
      <c r="D3" s="8" t="s">
        <v>265</v>
      </c>
      <c r="E3" s="39"/>
      <c r="F3" s="41"/>
      <c r="G3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" s="9" t="str">
        <f>IFERROR(_xlfn.TEXTAFTER(Tabela131830[[#This Row],[File Name]], "/", -1),"")</f>
        <v/>
      </c>
      <c r="I3" s="41"/>
      <c r="J3" s="41"/>
      <c r="K3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" s="9" t="str">
        <f>IFERROR(_xlfn.TEXTAFTER(Tabela131830[[#This Row],[File Name2]], "/", -1),"")</f>
        <v/>
      </c>
      <c r="M3" s="41" t="str">
        <f>IF(Tabela131830[[#This Row],[Symmetry]]="","",Tabela131830[[#This Row],[Symmetry]]=Tabela131830[[#This Row],[Symmetry2]])</f>
        <v/>
      </c>
      <c r="N3" s="41" t="str">
        <f>IF(Tabela131830[[#This Row],[Database]]="","",Tabela131830[[#This Row],[Database]]=Tabela131830[[#This Row],[Database2]])</f>
        <v/>
      </c>
      <c r="O3" s="41" t="str">
        <f>IF(Tabela131830[[#This Row],[File]]="","",Tabela131830[[#This Row],[File]]=Tabela131830[[#This Row],[File2]])</f>
        <v/>
      </c>
    </row>
    <row r="4" spans="1:15" s="2" customFormat="1" ht="25.25" customHeight="1" x14ac:dyDescent="0.45">
      <c r="D4" s="8" t="s">
        <v>266</v>
      </c>
      <c r="E4" s="39"/>
      <c r="F4" s="41"/>
      <c r="G4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" s="9" t="str">
        <f>IFERROR(_xlfn.TEXTAFTER(Tabela131830[[#This Row],[File Name]], "/", -1),"")</f>
        <v/>
      </c>
      <c r="I4" s="41"/>
      <c r="J4" s="41"/>
      <c r="K4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" s="9" t="str">
        <f>IFERROR(_xlfn.TEXTAFTER(Tabela131830[[#This Row],[File Name2]], "/", -1),"")</f>
        <v/>
      </c>
      <c r="M4" s="41" t="str">
        <f>IF(Tabela131830[[#This Row],[Symmetry]]="","",Tabela131830[[#This Row],[Symmetry]]=Tabela131830[[#This Row],[Symmetry2]])</f>
        <v/>
      </c>
      <c r="N4" s="41" t="str">
        <f>IF(Tabela131830[[#This Row],[Database]]="","",Tabela131830[[#This Row],[Database]]=Tabela131830[[#This Row],[Database2]])</f>
        <v/>
      </c>
      <c r="O4" s="41" t="str">
        <f>IF(Tabela131830[[#This Row],[File]]="","",Tabela131830[[#This Row],[File]]=Tabela131830[[#This Row],[File2]])</f>
        <v/>
      </c>
    </row>
    <row r="5" spans="1:15" s="2" customFormat="1" ht="25.25" customHeight="1" x14ac:dyDescent="0.45">
      <c r="D5" s="8" t="s">
        <v>267</v>
      </c>
      <c r="E5" s="39"/>
      <c r="F5" s="41"/>
      <c r="G5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" s="9" t="str">
        <f>IFERROR(_xlfn.TEXTAFTER(Tabela131830[[#This Row],[File Name]], "/", -1),"")</f>
        <v/>
      </c>
      <c r="I5" s="41"/>
      <c r="J5" s="41"/>
      <c r="K5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" s="9" t="str">
        <f>IFERROR(_xlfn.TEXTAFTER(Tabela131830[[#This Row],[File Name2]], "/", -1),"")</f>
        <v/>
      </c>
      <c r="M5" s="41" t="str">
        <f>IF(Tabela131830[[#This Row],[Symmetry]]="","",Tabela131830[[#This Row],[Symmetry]]=Tabela131830[[#This Row],[Symmetry2]])</f>
        <v/>
      </c>
      <c r="N5" s="41" t="str">
        <f>IF(Tabela131830[[#This Row],[Database]]="","",Tabela131830[[#This Row],[Database]]=Tabela131830[[#This Row],[Database2]])</f>
        <v/>
      </c>
      <c r="O5" s="41" t="str">
        <f>IF(Tabela131830[[#This Row],[File]]="","",Tabela131830[[#This Row],[File]]=Tabela131830[[#This Row],[File2]])</f>
        <v/>
      </c>
    </row>
    <row r="6" spans="1:15" s="2" customFormat="1" ht="25.25" customHeight="1" x14ac:dyDescent="0.45">
      <c r="D6" s="8" t="s">
        <v>268</v>
      </c>
      <c r="E6" s="39"/>
      <c r="F6" s="41"/>
      <c r="G6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" s="9" t="str">
        <f>IFERROR(_xlfn.TEXTAFTER(Tabela131830[[#This Row],[File Name]], "/", -1),"")</f>
        <v/>
      </c>
      <c r="I6" s="41"/>
      <c r="J6" s="41"/>
      <c r="K6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" s="9" t="str">
        <f>IFERROR(_xlfn.TEXTAFTER(Tabela131830[[#This Row],[File Name2]], "/", -1),"")</f>
        <v/>
      </c>
      <c r="M6" s="41" t="str">
        <f>IF(Tabela131830[[#This Row],[Symmetry]]="","",Tabela131830[[#This Row],[Symmetry]]=Tabela131830[[#This Row],[Symmetry2]])</f>
        <v/>
      </c>
      <c r="N6" s="41" t="str">
        <f>IF(Tabela131830[[#This Row],[Database]]="","",Tabela131830[[#This Row],[Database]]=Tabela131830[[#This Row],[Database2]])</f>
        <v/>
      </c>
      <c r="O6" s="41" t="str">
        <f>IF(Tabela131830[[#This Row],[File]]="","",Tabela131830[[#This Row],[File]]=Tabela131830[[#This Row],[File2]])</f>
        <v/>
      </c>
    </row>
    <row r="7" spans="1:15" s="2" customFormat="1" ht="25.25" customHeight="1" x14ac:dyDescent="0.45">
      <c r="D7" s="8" t="s">
        <v>269</v>
      </c>
      <c r="E7" s="39"/>
      <c r="F7" s="41"/>
      <c r="G7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" s="9" t="str">
        <f>IFERROR(_xlfn.TEXTAFTER(Tabela131830[[#This Row],[File Name]], "/", -1),"")</f>
        <v/>
      </c>
      <c r="I7" s="41"/>
      <c r="J7" s="41"/>
      <c r="K7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" s="9" t="str">
        <f>IFERROR(_xlfn.TEXTAFTER(Tabela131830[[#This Row],[File Name2]], "/", -1),"")</f>
        <v/>
      </c>
      <c r="M7" s="41" t="str">
        <f>IF(Tabela131830[[#This Row],[Symmetry]]="","",Tabela131830[[#This Row],[Symmetry]]=Tabela131830[[#This Row],[Symmetry2]])</f>
        <v/>
      </c>
      <c r="N7" s="41" t="str">
        <f>IF(Tabela131830[[#This Row],[Database]]="","",Tabela131830[[#This Row],[Database]]=Tabela131830[[#This Row],[Database2]])</f>
        <v/>
      </c>
      <c r="O7" s="41" t="str">
        <f>IF(Tabela131830[[#This Row],[File]]="","",Tabela131830[[#This Row],[File]]=Tabela131830[[#This Row],[File2]])</f>
        <v/>
      </c>
    </row>
    <row r="8" spans="1:15" s="2" customFormat="1" ht="25.25" customHeight="1" x14ac:dyDescent="0.45">
      <c r="D8" s="8" t="s">
        <v>270</v>
      </c>
      <c r="E8" s="39"/>
      <c r="F8" s="41"/>
      <c r="G8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" s="9" t="str">
        <f>IFERROR(_xlfn.TEXTAFTER(Tabela131830[[#This Row],[File Name]], "/", -1),"")</f>
        <v/>
      </c>
      <c r="I8" s="41"/>
      <c r="J8" s="41"/>
      <c r="K8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" s="9" t="str">
        <f>IFERROR(_xlfn.TEXTAFTER(Tabela131830[[#This Row],[File Name2]], "/", -1),"")</f>
        <v/>
      </c>
      <c r="M8" s="41" t="str">
        <f>IF(Tabela131830[[#This Row],[Symmetry]]="","",Tabela131830[[#This Row],[Symmetry]]=Tabela131830[[#This Row],[Symmetry2]])</f>
        <v/>
      </c>
      <c r="N8" s="41" t="str">
        <f>IF(Tabela131830[[#This Row],[Database]]="","",Tabela131830[[#This Row],[Database]]=Tabela131830[[#This Row],[Database2]])</f>
        <v/>
      </c>
      <c r="O8" s="41" t="str">
        <f>IF(Tabela131830[[#This Row],[File]]="","",Tabela131830[[#This Row],[File]]=Tabela131830[[#This Row],[File2]])</f>
        <v/>
      </c>
    </row>
    <row r="9" spans="1:15" s="2" customFormat="1" ht="25.25" customHeight="1" x14ac:dyDescent="0.45">
      <c r="D9" s="8" t="s">
        <v>271</v>
      </c>
      <c r="E9" s="39"/>
      <c r="F9" s="41"/>
      <c r="G9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" s="9" t="str">
        <f>IFERROR(_xlfn.TEXTAFTER(Tabela131830[[#This Row],[File Name]], "/", -1),"")</f>
        <v/>
      </c>
      <c r="I9" s="41"/>
      <c r="J9" s="41"/>
      <c r="K9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" s="9" t="str">
        <f>IFERROR(_xlfn.TEXTAFTER(Tabela131830[[#This Row],[File Name2]], "/", -1),"")</f>
        <v/>
      </c>
      <c r="M9" s="41" t="str">
        <f>IF(Tabela131830[[#This Row],[Symmetry]]="","",Tabela131830[[#This Row],[Symmetry]]=Tabela131830[[#This Row],[Symmetry2]])</f>
        <v/>
      </c>
      <c r="N9" s="41" t="str">
        <f>IF(Tabela131830[[#This Row],[Database]]="","",Tabela131830[[#This Row],[Database]]=Tabela131830[[#This Row],[Database2]])</f>
        <v/>
      </c>
      <c r="O9" s="41" t="str">
        <f>IF(Tabela131830[[#This Row],[File]]="","",Tabela131830[[#This Row],[File]]=Tabela131830[[#This Row],[File2]])</f>
        <v/>
      </c>
    </row>
    <row r="10" spans="1:15" s="2" customFormat="1" ht="25.25" customHeight="1" x14ac:dyDescent="0.45">
      <c r="D10" s="8" t="s">
        <v>272</v>
      </c>
      <c r="E10" s="39"/>
      <c r="F10" s="41"/>
      <c r="G10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" s="9" t="str">
        <f>IFERROR(_xlfn.TEXTAFTER(Tabela131830[[#This Row],[File Name]], "/", -1),"")</f>
        <v/>
      </c>
      <c r="I10" s="41"/>
      <c r="J10" s="41"/>
      <c r="K10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" s="9" t="str">
        <f>IFERROR(_xlfn.TEXTAFTER(Tabela131830[[#This Row],[File Name2]], "/", -1),"")</f>
        <v/>
      </c>
      <c r="M10" s="41" t="str">
        <f>IF(Tabela131830[[#This Row],[Symmetry]]="","",Tabela131830[[#This Row],[Symmetry]]=Tabela131830[[#This Row],[Symmetry2]])</f>
        <v/>
      </c>
      <c r="N10" s="41" t="str">
        <f>IF(Tabela131830[[#This Row],[Database]]="","",Tabela131830[[#This Row],[Database]]=Tabela131830[[#This Row],[Database2]])</f>
        <v/>
      </c>
      <c r="O10" s="41" t="str">
        <f>IF(Tabela131830[[#This Row],[File]]="","",Tabela131830[[#This Row],[File]]=Tabela131830[[#This Row],[File2]])</f>
        <v/>
      </c>
    </row>
    <row r="11" spans="1:15" s="2" customFormat="1" ht="25.25" customHeight="1" x14ac:dyDescent="0.45">
      <c r="D11" s="8" t="s">
        <v>273</v>
      </c>
      <c r="E11" s="39"/>
      <c r="F11" s="41"/>
      <c r="G11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" s="9" t="str">
        <f>IFERROR(_xlfn.TEXTAFTER(Tabela131830[[#This Row],[File Name]], "/", -1),"")</f>
        <v/>
      </c>
      <c r="I11" s="41"/>
      <c r="J11" s="41"/>
      <c r="K11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" s="9" t="str">
        <f>IFERROR(_xlfn.TEXTAFTER(Tabela131830[[#This Row],[File Name2]], "/", -1),"")</f>
        <v/>
      </c>
      <c r="M11" s="41" t="str">
        <f>IF(Tabela131830[[#This Row],[Symmetry]]="","",Tabela131830[[#This Row],[Symmetry]]=Tabela131830[[#This Row],[Symmetry2]])</f>
        <v/>
      </c>
      <c r="N11" s="41" t="str">
        <f>IF(Tabela131830[[#This Row],[Database]]="","",Tabela131830[[#This Row],[Database]]=Tabela131830[[#This Row],[Database2]])</f>
        <v/>
      </c>
      <c r="O11" s="41" t="str">
        <f>IF(Tabela131830[[#This Row],[File]]="","",Tabela131830[[#This Row],[File]]=Tabela131830[[#This Row],[File2]])</f>
        <v/>
      </c>
    </row>
    <row r="12" spans="1:15" s="2" customFormat="1" ht="25.25" customHeight="1" x14ac:dyDescent="0.45">
      <c r="D12" s="8" t="s">
        <v>274</v>
      </c>
      <c r="E12" s="39"/>
      <c r="F12" s="41"/>
      <c r="G12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" s="9" t="str">
        <f>IFERROR(_xlfn.TEXTAFTER(Tabela131830[[#This Row],[File Name]], "/", -1),"")</f>
        <v/>
      </c>
      <c r="I12" s="41"/>
      <c r="J12" s="41"/>
      <c r="K12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" s="9" t="str">
        <f>IFERROR(_xlfn.TEXTAFTER(Tabela131830[[#This Row],[File Name2]], "/", -1),"")</f>
        <v/>
      </c>
      <c r="M12" s="41" t="str">
        <f>IF(Tabela131830[[#This Row],[Symmetry]]="","",Tabela131830[[#This Row],[Symmetry]]=Tabela131830[[#This Row],[Symmetry2]])</f>
        <v/>
      </c>
      <c r="N12" s="41" t="str">
        <f>IF(Tabela131830[[#This Row],[Database]]="","",Tabela131830[[#This Row],[Database]]=Tabela131830[[#This Row],[Database2]])</f>
        <v/>
      </c>
      <c r="O12" s="41" t="str">
        <f>IF(Tabela131830[[#This Row],[File]]="","",Tabela131830[[#This Row],[File]]=Tabela131830[[#This Row],[File2]])</f>
        <v/>
      </c>
    </row>
    <row r="13" spans="1:15" s="2" customFormat="1" ht="25.25" customHeight="1" x14ac:dyDescent="0.45">
      <c r="D13" s="8" t="s">
        <v>275</v>
      </c>
      <c r="E13" s="39"/>
      <c r="F13" s="41"/>
      <c r="G13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3" s="9" t="str">
        <f>IFERROR(_xlfn.TEXTAFTER(Tabela131830[[#This Row],[File Name]], "/", -1),"")</f>
        <v/>
      </c>
      <c r="I13" s="41"/>
      <c r="J13" s="41"/>
      <c r="K13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3" s="9" t="str">
        <f>IFERROR(_xlfn.TEXTAFTER(Tabela131830[[#This Row],[File Name2]], "/", -1),"")</f>
        <v/>
      </c>
      <c r="M13" s="41" t="str">
        <f>IF(Tabela131830[[#This Row],[Symmetry]]="","",Tabela131830[[#This Row],[Symmetry]]=Tabela131830[[#This Row],[Symmetry2]])</f>
        <v/>
      </c>
      <c r="N13" s="41" t="str">
        <f>IF(Tabela131830[[#This Row],[Database]]="","",Tabela131830[[#This Row],[Database]]=Tabela131830[[#This Row],[Database2]])</f>
        <v/>
      </c>
      <c r="O13" s="41" t="str">
        <f>IF(Tabela131830[[#This Row],[File]]="","",Tabela131830[[#This Row],[File]]=Tabela131830[[#This Row],[File2]])</f>
        <v/>
      </c>
    </row>
    <row r="14" spans="1:15" s="2" customFormat="1" ht="25.25" customHeight="1" x14ac:dyDescent="0.45">
      <c r="D14" s="8" t="s">
        <v>276</v>
      </c>
      <c r="E14" s="39"/>
      <c r="F14" s="41"/>
      <c r="G14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4" s="9" t="str">
        <f>IFERROR(_xlfn.TEXTAFTER(Tabela131830[[#This Row],[File Name]], "/", -1),"")</f>
        <v/>
      </c>
      <c r="I14" s="41"/>
      <c r="J14" s="41"/>
      <c r="K14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4" s="9" t="str">
        <f>IFERROR(_xlfn.TEXTAFTER(Tabela131830[[#This Row],[File Name2]], "/", -1),"")</f>
        <v/>
      </c>
      <c r="M14" s="41" t="str">
        <f>IF(Tabela131830[[#This Row],[Symmetry]]="","",Tabela131830[[#This Row],[Symmetry]]=Tabela131830[[#This Row],[Symmetry2]])</f>
        <v/>
      </c>
      <c r="N14" s="41" t="str">
        <f>IF(Tabela131830[[#This Row],[Database]]="","",Tabela131830[[#This Row],[Database]]=Tabela131830[[#This Row],[Database2]])</f>
        <v/>
      </c>
      <c r="O14" s="41" t="str">
        <f>IF(Tabela131830[[#This Row],[File]]="","",Tabela131830[[#This Row],[File]]=Tabela131830[[#This Row],[File2]])</f>
        <v/>
      </c>
    </row>
    <row r="15" spans="1:15" ht="25.25" customHeight="1" x14ac:dyDescent="0.45">
      <c r="D15" s="8" t="s">
        <v>277</v>
      </c>
      <c r="E15" s="39"/>
      <c r="F15" s="41"/>
      <c r="G15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5" s="9" t="str">
        <f>IFERROR(_xlfn.TEXTAFTER(Tabela131830[[#This Row],[File Name]], "/", -1),"")</f>
        <v/>
      </c>
      <c r="I15" s="41"/>
      <c r="J15" s="41"/>
      <c r="K15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5" s="9" t="str">
        <f>IFERROR(_xlfn.TEXTAFTER(Tabela131830[[#This Row],[File Name2]], "/", -1),"")</f>
        <v/>
      </c>
      <c r="M15" s="41" t="str">
        <f>IF(Tabela131830[[#This Row],[Symmetry]]="","",Tabela131830[[#This Row],[Symmetry]]=Tabela131830[[#This Row],[Symmetry2]])</f>
        <v/>
      </c>
      <c r="N15" s="41" t="str">
        <f>IF(Tabela131830[[#This Row],[Database]]="","",Tabela131830[[#This Row],[Database]]=Tabela131830[[#This Row],[Database2]])</f>
        <v/>
      </c>
      <c r="O15" s="41" t="str">
        <f>IF(Tabela131830[[#This Row],[File]]="","",Tabela131830[[#This Row],[File]]=Tabela131830[[#This Row],[File2]])</f>
        <v/>
      </c>
    </row>
    <row r="16" spans="1:15" ht="25.25" customHeight="1" x14ac:dyDescent="0.45">
      <c r="D16" s="8" t="s">
        <v>278</v>
      </c>
      <c r="E16" s="39"/>
      <c r="F16" s="41"/>
      <c r="G16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6" s="9" t="str">
        <f>IFERROR(_xlfn.TEXTAFTER(Tabela131830[[#This Row],[File Name]], "/", -1),"")</f>
        <v/>
      </c>
      <c r="I16" s="41"/>
      <c r="J16" s="41"/>
      <c r="K16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6" s="9" t="str">
        <f>IFERROR(_xlfn.TEXTAFTER(Tabela131830[[#This Row],[File Name2]], "/", -1),"")</f>
        <v/>
      </c>
      <c r="M16" s="41" t="str">
        <f>IF(Tabela131830[[#This Row],[Symmetry]]="","",Tabela131830[[#This Row],[Symmetry]]=Tabela131830[[#This Row],[Symmetry2]])</f>
        <v/>
      </c>
      <c r="N16" s="41" t="str">
        <f>IF(Tabela131830[[#This Row],[Database]]="","",Tabela131830[[#This Row],[Database]]=Tabela131830[[#This Row],[Database2]])</f>
        <v/>
      </c>
      <c r="O16" s="41" t="str">
        <f>IF(Tabela131830[[#This Row],[File]]="","",Tabela131830[[#This Row],[File]]=Tabela131830[[#This Row],[File2]])</f>
        <v/>
      </c>
    </row>
    <row r="17" spans="4:15" ht="25.25" customHeight="1" x14ac:dyDescent="0.45">
      <c r="D17" s="8" t="s">
        <v>279</v>
      </c>
      <c r="E17" s="39"/>
      <c r="F17" s="41"/>
      <c r="G17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7" s="9" t="str">
        <f>IFERROR(_xlfn.TEXTAFTER(Tabela131830[[#This Row],[File Name]], "/", -1),"")</f>
        <v/>
      </c>
      <c r="I17" s="41"/>
      <c r="J17" s="41"/>
      <c r="K17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7" s="9" t="str">
        <f>IFERROR(_xlfn.TEXTAFTER(Tabela131830[[#This Row],[File Name2]], "/", -1),"")</f>
        <v/>
      </c>
      <c r="M17" s="41" t="str">
        <f>IF(Tabela131830[[#This Row],[Symmetry]]="","",Tabela131830[[#This Row],[Symmetry]]=Tabela131830[[#This Row],[Symmetry2]])</f>
        <v/>
      </c>
      <c r="N17" s="41" t="str">
        <f>IF(Tabela131830[[#This Row],[Database]]="","",Tabela131830[[#This Row],[Database]]=Tabela131830[[#This Row],[Database2]])</f>
        <v/>
      </c>
      <c r="O17" s="41" t="str">
        <f>IF(Tabela131830[[#This Row],[File]]="","",Tabela131830[[#This Row],[File]]=Tabela131830[[#This Row],[File2]])</f>
        <v/>
      </c>
    </row>
    <row r="18" spans="4:15" ht="25.25" customHeight="1" x14ac:dyDescent="0.45">
      <c r="D18" s="8" t="s">
        <v>280</v>
      </c>
      <c r="E18" s="39"/>
      <c r="F18" s="41"/>
      <c r="G18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8" s="9" t="str">
        <f>IFERROR(_xlfn.TEXTAFTER(Tabela131830[[#This Row],[File Name]], "/", -1),"")</f>
        <v/>
      </c>
      <c r="I18" s="41"/>
      <c r="J18" s="41"/>
      <c r="K18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8" s="9" t="str">
        <f>IFERROR(_xlfn.TEXTAFTER(Tabela131830[[#This Row],[File Name2]], "/", -1),"")</f>
        <v/>
      </c>
      <c r="M18" s="41" t="str">
        <f>IF(Tabela131830[[#This Row],[Symmetry]]="","",Tabela131830[[#This Row],[Symmetry]]=Tabela131830[[#This Row],[Symmetry2]])</f>
        <v/>
      </c>
      <c r="N18" s="41" t="str">
        <f>IF(Tabela131830[[#This Row],[Database]]="","",Tabela131830[[#This Row],[Database]]=Tabela131830[[#This Row],[Database2]])</f>
        <v/>
      </c>
      <c r="O18" s="41" t="str">
        <f>IF(Tabela131830[[#This Row],[File]]="","",Tabela131830[[#This Row],[File]]=Tabela131830[[#This Row],[File2]])</f>
        <v/>
      </c>
    </row>
    <row r="19" spans="4:15" ht="25.25" customHeight="1" x14ac:dyDescent="0.45">
      <c r="D19" s="8" t="s">
        <v>281</v>
      </c>
      <c r="E19" s="39"/>
      <c r="F19" s="41"/>
      <c r="G19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9" s="9" t="str">
        <f>IFERROR(_xlfn.TEXTAFTER(Tabela131830[[#This Row],[File Name]], "/", -1),"")</f>
        <v/>
      </c>
      <c r="I19" s="41"/>
      <c r="J19" s="41"/>
      <c r="K19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9" s="9" t="str">
        <f>IFERROR(_xlfn.TEXTAFTER(Tabela131830[[#This Row],[File Name2]], "/", -1),"")</f>
        <v/>
      </c>
      <c r="M19" s="41" t="str">
        <f>IF(Tabela131830[[#This Row],[Symmetry]]="","",Tabela131830[[#This Row],[Symmetry]]=Tabela131830[[#This Row],[Symmetry2]])</f>
        <v/>
      </c>
      <c r="N19" s="41" t="str">
        <f>IF(Tabela131830[[#This Row],[Database]]="","",Tabela131830[[#This Row],[Database]]=Tabela131830[[#This Row],[Database2]])</f>
        <v/>
      </c>
      <c r="O19" s="41" t="str">
        <f>IF(Tabela131830[[#This Row],[File]]="","",Tabela131830[[#This Row],[File]]=Tabela131830[[#This Row],[File2]])</f>
        <v/>
      </c>
    </row>
    <row r="20" spans="4:15" ht="25.25" customHeight="1" x14ac:dyDescent="0.45">
      <c r="D20" s="8" t="s">
        <v>282</v>
      </c>
      <c r="E20" s="39"/>
      <c r="F20" s="41"/>
      <c r="G20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0" s="9" t="str">
        <f>IFERROR(_xlfn.TEXTAFTER(Tabela131830[[#This Row],[File Name]], "/", -1),"")</f>
        <v/>
      </c>
      <c r="I20" s="41"/>
      <c r="J20" s="41"/>
      <c r="K20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0" s="9" t="str">
        <f>IFERROR(_xlfn.TEXTAFTER(Tabela131830[[#This Row],[File Name2]], "/", -1),"")</f>
        <v/>
      </c>
      <c r="M20" s="41" t="str">
        <f>IF(Tabela131830[[#This Row],[Symmetry]]="","",Tabela131830[[#This Row],[Symmetry]]=Tabela131830[[#This Row],[Symmetry2]])</f>
        <v/>
      </c>
      <c r="N20" s="41" t="str">
        <f>IF(Tabela131830[[#This Row],[Database]]="","",Tabela131830[[#This Row],[Database]]=Tabela131830[[#This Row],[Database2]])</f>
        <v/>
      </c>
      <c r="O20" s="41" t="str">
        <f>IF(Tabela131830[[#This Row],[File]]="","",Tabela131830[[#This Row],[File]]=Tabela131830[[#This Row],[File2]])</f>
        <v/>
      </c>
    </row>
    <row r="21" spans="4:15" ht="25.25" customHeight="1" x14ac:dyDescent="0.45">
      <c r="D21" s="8" t="s">
        <v>283</v>
      </c>
      <c r="E21" s="39"/>
      <c r="F21" s="41"/>
      <c r="G21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1" s="9" t="str">
        <f>IFERROR(_xlfn.TEXTAFTER(Tabela131830[[#This Row],[File Name]], "/", -1),"")</f>
        <v/>
      </c>
      <c r="I21" s="41"/>
      <c r="J21" s="41"/>
      <c r="K21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1" s="9" t="str">
        <f>IFERROR(_xlfn.TEXTAFTER(Tabela131830[[#This Row],[File Name2]], "/", -1),"")</f>
        <v/>
      </c>
      <c r="M21" s="41" t="str">
        <f>IF(Tabela131830[[#This Row],[Symmetry]]="","",Tabela131830[[#This Row],[Symmetry]]=Tabela131830[[#This Row],[Symmetry2]])</f>
        <v/>
      </c>
      <c r="N21" s="41" t="str">
        <f>IF(Tabela131830[[#This Row],[Database]]="","",Tabela131830[[#This Row],[Database]]=Tabela131830[[#This Row],[Database2]])</f>
        <v/>
      </c>
      <c r="O21" s="41" t="str">
        <f>IF(Tabela131830[[#This Row],[File]]="","",Tabela131830[[#This Row],[File]]=Tabela131830[[#This Row],[File2]])</f>
        <v/>
      </c>
    </row>
    <row r="22" spans="4:15" ht="25.25" customHeight="1" x14ac:dyDescent="0.45">
      <c r="D22" s="8" t="s">
        <v>284</v>
      </c>
      <c r="E22" s="39"/>
      <c r="F22" s="41"/>
      <c r="G22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2" s="9" t="str">
        <f>IFERROR(_xlfn.TEXTAFTER(Tabela131830[[#This Row],[File Name]], "/", -1),"")</f>
        <v/>
      </c>
      <c r="I22" s="41"/>
      <c r="J22" s="41"/>
      <c r="K22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2" s="9" t="str">
        <f>IFERROR(_xlfn.TEXTAFTER(Tabela131830[[#This Row],[File Name2]], "/", -1),"")</f>
        <v/>
      </c>
      <c r="M22" s="41" t="str">
        <f>IF(Tabela131830[[#This Row],[Symmetry]]="","",Tabela131830[[#This Row],[Symmetry]]=Tabela131830[[#This Row],[Symmetry2]])</f>
        <v/>
      </c>
      <c r="N22" s="41" t="str">
        <f>IF(Tabela131830[[#This Row],[Database]]="","",Tabela131830[[#This Row],[Database]]=Tabela131830[[#This Row],[Database2]])</f>
        <v/>
      </c>
      <c r="O22" s="41" t="str">
        <f>IF(Tabela131830[[#This Row],[File]]="","",Tabela131830[[#This Row],[File]]=Tabela131830[[#This Row],[File2]])</f>
        <v/>
      </c>
    </row>
    <row r="23" spans="4:15" ht="25.25" customHeight="1" x14ac:dyDescent="0.45">
      <c r="D23" s="8" t="s">
        <v>285</v>
      </c>
      <c r="E23" s="39"/>
      <c r="F23" s="41"/>
      <c r="G23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3" s="9" t="str">
        <f>IFERROR(_xlfn.TEXTAFTER(Tabela131830[[#This Row],[File Name]], "/", -1),"")</f>
        <v/>
      </c>
      <c r="I23" s="41"/>
      <c r="J23" s="41"/>
      <c r="K23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3" s="9" t="str">
        <f>IFERROR(_xlfn.TEXTAFTER(Tabela131830[[#This Row],[File Name2]], "/", -1),"")</f>
        <v/>
      </c>
      <c r="M23" s="41" t="str">
        <f>IF(Tabela131830[[#This Row],[Symmetry]]="","",Tabela131830[[#This Row],[Symmetry]]=Tabela131830[[#This Row],[Symmetry2]])</f>
        <v/>
      </c>
      <c r="N23" s="41" t="str">
        <f>IF(Tabela131830[[#This Row],[Database]]="","",Tabela131830[[#This Row],[Database]]=Tabela131830[[#This Row],[Database2]])</f>
        <v/>
      </c>
      <c r="O23" s="41" t="str">
        <f>IF(Tabela131830[[#This Row],[File]]="","",Tabela131830[[#This Row],[File]]=Tabela131830[[#This Row],[File2]])</f>
        <v/>
      </c>
    </row>
    <row r="24" spans="4:15" ht="25.25" customHeight="1" x14ac:dyDescent="0.45">
      <c r="D24" s="8" t="s">
        <v>286</v>
      </c>
      <c r="E24" s="39"/>
      <c r="F24" s="41"/>
      <c r="G24" s="41" t="str">
        <f>IFERROR(_xlfn.LET(
    _xlpm.txt, TRIM(SUBSTITUTE(SUBSTITUTE(Tabela131830[[#This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4" s="9" t="str">
        <f>IFERROR(_xlfn.TEXTAFTER(Tabela131830[[#This Row],[File Name]], "/", -1),"")</f>
        <v/>
      </c>
      <c r="I24" s="41"/>
      <c r="J24" s="41"/>
      <c r="K24" s="41" t="str">
        <f>IFERROR(_xlfn.LET(
    _xlpm.txt, TRIM(SUBSTITUTE(SUBSTITUTE(Tabela131830[[#This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4" s="9" t="str">
        <f>IFERROR(_xlfn.TEXTAFTER(Tabela131830[[#This Row],[File Name2]], "/", -1),"")</f>
        <v/>
      </c>
      <c r="M24" s="41" t="str">
        <f>IF(Tabela131830[[#This Row],[Symmetry]]="","",Tabela131830[[#This Row],[Symmetry]]=Tabela131830[[#This Row],[Symmetry2]])</f>
        <v/>
      </c>
      <c r="N24" s="41" t="str">
        <f>IF(Tabela131830[[#This Row],[Database]]="","",Tabela131830[[#This Row],[Database]]=Tabela131830[[#This Row],[Database2]])</f>
        <v/>
      </c>
      <c r="O24" s="41" t="str">
        <f>IF(Tabela131830[[#This Row],[File]]="","",Tabela131830[[#This Row],[File]]=Tabela131830[[#This Row],[File2]])</f>
        <v/>
      </c>
    </row>
    <row r="26" spans="4:15" s="2" customFormat="1" ht="32" customHeight="1" x14ac:dyDescent="0.45">
      <c r="D26" s="10" t="s">
        <v>385</v>
      </c>
      <c r="E26" s="7" t="s">
        <v>16</v>
      </c>
      <c r="F26" s="7" t="s">
        <v>263</v>
      </c>
      <c r="G26" s="7" t="s">
        <v>370</v>
      </c>
      <c r="H26" s="84" t="s">
        <v>371</v>
      </c>
      <c r="I26" s="3" t="s">
        <v>20</v>
      </c>
      <c r="J26" s="3" t="s">
        <v>368</v>
      </c>
      <c r="K26" s="3" t="s">
        <v>372</v>
      </c>
      <c r="L26" s="85" t="s">
        <v>375</v>
      </c>
      <c r="M26" s="4" t="s">
        <v>369</v>
      </c>
      <c r="N26" s="4" t="s">
        <v>374</v>
      </c>
      <c r="O26" s="4" t="s">
        <v>373</v>
      </c>
    </row>
    <row r="27" spans="4:15" ht="25.25" customHeight="1" x14ac:dyDescent="0.45">
      <c r="D27" s="8" t="s">
        <v>287</v>
      </c>
      <c r="E27" s="39"/>
      <c r="F27" s="41"/>
      <c r="G27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7" s="9" t="str">
        <f>IFERROR(_xlfn.TEXTAFTER(Tabela13183037[[#This Row],[File Name]], "/", -1),"")</f>
        <v/>
      </c>
      <c r="I27" s="41"/>
      <c r="J27" s="41"/>
      <c r="K27" s="41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7" s="9" t="str">
        <f>IFERROR(_xlfn.TEXTAFTER(Tabela13183037[[#This Row],[File Name2]], "/", -1),"")</f>
        <v/>
      </c>
      <c r="M27" s="41" t="str">
        <f>IF(Tabela13183037[[#This Row],[Symmetry]]="","",Tabela13183037[[#This Row],[Symmetry]]=Tabela13183037[[#This Row],[Symmetry2]])</f>
        <v/>
      </c>
      <c r="N27" s="41" t="str">
        <f>IF(Tabela13183037[[#This Row],[Database]]="","",Tabela13183037[[#This Row],[Database]]=Tabela13183037[[#This Row],[Database2]])</f>
        <v/>
      </c>
      <c r="O27" s="41" t="str">
        <f>IF(Tabela13183037[[#This Row],[File]]="","",Tabela13183037[[#This Row],[File]]=Tabela13183037[[#This Row],[File2]])</f>
        <v/>
      </c>
    </row>
    <row r="28" spans="4:15" ht="25.25" customHeight="1" x14ac:dyDescent="0.45">
      <c r="D28" s="8" t="s">
        <v>265</v>
      </c>
      <c r="E28" s="39"/>
      <c r="F28" s="41"/>
      <c r="G28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8" s="9" t="str">
        <f>IFERROR(_xlfn.TEXTAFTER(Tabela13183037[[#This Row],[File Name]], "/", -1),"")</f>
        <v/>
      </c>
      <c r="J28" s="79"/>
      <c r="K28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8" s="9" t="str">
        <f>IFERROR(_xlfn.TEXTAFTER(Tabela13183037[[#This Row],[File Name2]], "/", -1),"")</f>
        <v/>
      </c>
      <c r="M28" s="79" t="str">
        <f>IF(Tabela13183037[[#This Row],[Symmetry]]="","",Tabela13183037[[#This Row],[Symmetry]]=Tabela13183037[[#This Row],[Symmetry2]])</f>
        <v/>
      </c>
      <c r="N28" s="79" t="str">
        <f>IF(Tabela13183037[[#This Row],[Database]]="","",Tabela13183037[[#This Row],[Database]]=Tabela13183037[[#This Row],[Database2]])</f>
        <v/>
      </c>
      <c r="O28" s="79" t="str">
        <f>IF(Tabela13183037[[#This Row],[File]]="","",Tabela13183037[[#This Row],[File]]=Tabela13183037[[#This Row],[File2]])</f>
        <v/>
      </c>
    </row>
    <row r="29" spans="4:15" ht="25.25" customHeight="1" x14ac:dyDescent="0.45">
      <c r="D29" s="8" t="s">
        <v>288</v>
      </c>
      <c r="E29" s="39"/>
      <c r="F29" s="41"/>
      <c r="G29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29" s="9" t="str">
        <f>IFERROR(_xlfn.TEXTAFTER(Tabela13183037[[#This Row],[File Name]], "/", -1),"")</f>
        <v/>
      </c>
      <c r="J29" s="79"/>
      <c r="K29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29" s="9" t="str">
        <f>IFERROR(_xlfn.TEXTAFTER(Tabela13183037[[#This Row],[File Name2]], "/", -1),"")</f>
        <v/>
      </c>
      <c r="M29" s="79" t="str">
        <f>IF(Tabela13183037[[#This Row],[Symmetry]]="","",Tabela13183037[[#This Row],[Symmetry]]=Tabela13183037[[#This Row],[Symmetry2]])</f>
        <v/>
      </c>
      <c r="N29" s="79" t="str">
        <f>IF(Tabela13183037[[#This Row],[Database]]="","",Tabela13183037[[#This Row],[Database]]=Tabela13183037[[#This Row],[Database2]])</f>
        <v/>
      </c>
      <c r="O29" s="79" t="str">
        <f>IF(Tabela13183037[[#This Row],[File]]="","",Tabela13183037[[#This Row],[File]]=Tabela13183037[[#This Row],[File2]])</f>
        <v/>
      </c>
    </row>
    <row r="30" spans="4:15" ht="25.25" customHeight="1" x14ac:dyDescent="0.45">
      <c r="D30" s="8" t="s">
        <v>289</v>
      </c>
      <c r="E30" s="39"/>
      <c r="F30" s="41"/>
      <c r="G30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0" s="9" t="str">
        <f>IFERROR(_xlfn.TEXTAFTER(Tabela13183037[[#This Row],[File Name]], "/", -1),"")</f>
        <v/>
      </c>
      <c r="J30" s="79"/>
      <c r="K30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0" s="9" t="str">
        <f>IFERROR(_xlfn.TEXTAFTER(Tabela13183037[[#This Row],[File Name2]], "/", -1),"")</f>
        <v/>
      </c>
      <c r="M30" s="79" t="str">
        <f>IF(Tabela13183037[[#This Row],[Symmetry]]="","",Tabela13183037[[#This Row],[Symmetry]]=Tabela13183037[[#This Row],[Symmetry2]])</f>
        <v/>
      </c>
      <c r="N30" s="79" t="str">
        <f>IF(Tabela13183037[[#This Row],[Database]]="","",Tabela13183037[[#This Row],[Database]]=Tabela13183037[[#This Row],[Database2]])</f>
        <v/>
      </c>
      <c r="O30" s="79" t="str">
        <f>IF(Tabela13183037[[#This Row],[File]]="","",Tabela13183037[[#This Row],[File]]=Tabela13183037[[#This Row],[File2]])</f>
        <v/>
      </c>
    </row>
    <row r="31" spans="4:15" ht="25.25" customHeight="1" x14ac:dyDescent="0.45">
      <c r="D31" s="8" t="s">
        <v>290</v>
      </c>
      <c r="E31" s="39"/>
      <c r="F31" s="41"/>
      <c r="G31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1" s="9" t="str">
        <f>IFERROR(_xlfn.TEXTAFTER(Tabela13183037[[#This Row],[File Name]], "/", -1),"")</f>
        <v/>
      </c>
      <c r="J31" s="79"/>
      <c r="K31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1" s="9" t="str">
        <f>IFERROR(_xlfn.TEXTAFTER(Tabela13183037[[#This Row],[File Name2]], "/", -1),"")</f>
        <v/>
      </c>
      <c r="M31" s="79" t="str">
        <f>IF(Tabela13183037[[#This Row],[Symmetry]]="","",Tabela13183037[[#This Row],[Symmetry]]=Tabela13183037[[#This Row],[Symmetry2]])</f>
        <v/>
      </c>
      <c r="N31" s="79" t="str">
        <f>IF(Tabela13183037[[#This Row],[Database]]="","",Tabela13183037[[#This Row],[Database]]=Tabela13183037[[#This Row],[Database2]])</f>
        <v/>
      </c>
      <c r="O31" s="79" t="str">
        <f>IF(Tabela13183037[[#This Row],[File]]="","",Tabela13183037[[#This Row],[File]]=Tabela13183037[[#This Row],[File2]])</f>
        <v/>
      </c>
    </row>
    <row r="32" spans="4:15" ht="25.25" customHeight="1" x14ac:dyDescent="0.45">
      <c r="D32" s="8" t="s">
        <v>291</v>
      </c>
      <c r="E32" s="39"/>
      <c r="F32" s="41"/>
      <c r="G32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2" s="9" t="str">
        <f>IFERROR(_xlfn.TEXTAFTER(Tabela13183037[[#This Row],[File Name]], "/", -1),"")</f>
        <v/>
      </c>
      <c r="J32" s="79"/>
      <c r="K32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2" s="9" t="str">
        <f>IFERROR(_xlfn.TEXTAFTER(Tabela13183037[[#This Row],[File Name2]], "/", -1),"")</f>
        <v/>
      </c>
      <c r="M32" s="79" t="str">
        <f>IF(Tabela13183037[[#This Row],[Symmetry]]="","",Tabela13183037[[#This Row],[Symmetry]]=Tabela13183037[[#This Row],[Symmetry2]])</f>
        <v/>
      </c>
      <c r="N32" s="79" t="str">
        <f>IF(Tabela13183037[[#This Row],[Database]]="","",Tabela13183037[[#This Row],[Database]]=Tabela13183037[[#This Row],[Database2]])</f>
        <v/>
      </c>
      <c r="O32" s="79" t="str">
        <f>IF(Tabela13183037[[#This Row],[File]]="","",Tabela13183037[[#This Row],[File]]=Tabela13183037[[#This Row],[File2]])</f>
        <v/>
      </c>
    </row>
    <row r="33" spans="4:15" ht="25.25" customHeight="1" x14ac:dyDescent="0.45">
      <c r="D33" s="8" t="s">
        <v>292</v>
      </c>
      <c r="E33" s="39"/>
      <c r="F33" s="41"/>
      <c r="G33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3" s="9" t="str">
        <f>IFERROR(_xlfn.TEXTAFTER(Tabela13183037[[#This Row],[File Name]], "/", -1),"")</f>
        <v/>
      </c>
      <c r="J33" s="79"/>
      <c r="K33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3" s="9" t="str">
        <f>IFERROR(_xlfn.TEXTAFTER(Tabela13183037[[#This Row],[File Name2]], "/", -1),"")</f>
        <v/>
      </c>
      <c r="M33" s="79" t="str">
        <f>IF(Tabela13183037[[#This Row],[Symmetry]]="","",Tabela13183037[[#This Row],[Symmetry]]=Tabela13183037[[#This Row],[Symmetry2]])</f>
        <v/>
      </c>
      <c r="N33" s="79" t="str">
        <f>IF(Tabela13183037[[#This Row],[Database]]="","",Tabela13183037[[#This Row],[Database]]=Tabela13183037[[#This Row],[Database2]])</f>
        <v/>
      </c>
      <c r="O33" s="79" t="str">
        <f>IF(Tabela13183037[[#This Row],[File]]="","",Tabela13183037[[#This Row],[File]]=Tabela13183037[[#This Row],[File2]])</f>
        <v/>
      </c>
    </row>
    <row r="34" spans="4:15" ht="25.25" customHeight="1" x14ac:dyDescent="0.45">
      <c r="D34" s="8" t="s">
        <v>293</v>
      </c>
      <c r="E34" s="39"/>
      <c r="F34" s="41"/>
      <c r="G34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4" s="9" t="str">
        <f>IFERROR(_xlfn.TEXTAFTER(Tabela13183037[[#This Row],[File Name]], "/", -1),"")</f>
        <v/>
      </c>
      <c r="J34" s="79"/>
      <c r="K34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4" s="9" t="str">
        <f>IFERROR(_xlfn.TEXTAFTER(Tabela13183037[[#This Row],[File Name2]], "/", -1),"")</f>
        <v/>
      </c>
      <c r="M34" s="79" t="str">
        <f>IF(Tabela13183037[[#This Row],[Symmetry]]="","",Tabela13183037[[#This Row],[Symmetry]]=Tabela13183037[[#This Row],[Symmetry2]])</f>
        <v/>
      </c>
      <c r="N34" s="79" t="str">
        <f>IF(Tabela13183037[[#This Row],[Database]]="","",Tabela13183037[[#This Row],[Database]]=Tabela13183037[[#This Row],[Database2]])</f>
        <v/>
      </c>
      <c r="O34" s="79" t="str">
        <f>IF(Tabela13183037[[#This Row],[File]]="","",Tabela13183037[[#This Row],[File]]=Tabela13183037[[#This Row],[File2]])</f>
        <v/>
      </c>
    </row>
    <row r="35" spans="4:15" ht="25.25" customHeight="1" x14ac:dyDescent="0.45">
      <c r="D35" s="8" t="s">
        <v>294</v>
      </c>
      <c r="E35" s="39"/>
      <c r="F35" s="41"/>
      <c r="G35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5" s="9" t="str">
        <f>IFERROR(_xlfn.TEXTAFTER(Tabela13183037[[#This Row],[File Name]], "/", -1),"")</f>
        <v/>
      </c>
      <c r="J35" s="79"/>
      <c r="K35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5" s="9" t="str">
        <f>IFERROR(_xlfn.TEXTAFTER(Tabela13183037[[#This Row],[File Name2]], "/", -1),"")</f>
        <v/>
      </c>
      <c r="M35" s="79" t="str">
        <f>IF(Tabela13183037[[#This Row],[Symmetry]]="","",Tabela13183037[[#This Row],[Symmetry]]=Tabela13183037[[#This Row],[Symmetry2]])</f>
        <v/>
      </c>
      <c r="N35" s="79" t="str">
        <f>IF(Tabela13183037[[#This Row],[Database]]="","",Tabela13183037[[#This Row],[Database]]=Tabela13183037[[#This Row],[Database2]])</f>
        <v/>
      </c>
      <c r="O35" s="79" t="str">
        <f>IF(Tabela13183037[[#This Row],[File]]="","",Tabela13183037[[#This Row],[File]]=Tabela13183037[[#This Row],[File2]])</f>
        <v/>
      </c>
    </row>
    <row r="36" spans="4:15" ht="25.25" customHeight="1" x14ac:dyDescent="0.45">
      <c r="D36" s="8" t="s">
        <v>273</v>
      </c>
      <c r="E36" s="39"/>
      <c r="F36" s="41"/>
      <c r="G36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6" s="9" t="str">
        <f>IFERROR(_xlfn.TEXTAFTER(Tabela13183037[[#This Row],[File Name]], "/", -1),"")</f>
        <v/>
      </c>
      <c r="J36" s="79"/>
      <c r="K36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6" s="9" t="str">
        <f>IFERROR(_xlfn.TEXTAFTER(Tabela13183037[[#This Row],[File Name2]], "/", -1),"")</f>
        <v/>
      </c>
      <c r="M36" s="79" t="str">
        <f>IF(Tabela13183037[[#This Row],[Symmetry]]="","",Tabela13183037[[#This Row],[Symmetry]]=Tabela13183037[[#This Row],[Symmetry2]])</f>
        <v/>
      </c>
      <c r="N36" s="79" t="str">
        <f>IF(Tabela13183037[[#This Row],[Database]]="","",Tabela13183037[[#This Row],[Database]]=Tabela13183037[[#This Row],[Database2]])</f>
        <v/>
      </c>
      <c r="O36" s="79" t="str">
        <f>IF(Tabela13183037[[#This Row],[File]]="","",Tabela13183037[[#This Row],[File]]=Tabela13183037[[#This Row],[File2]])</f>
        <v/>
      </c>
    </row>
    <row r="37" spans="4:15" ht="25.25" customHeight="1" x14ac:dyDescent="0.45">
      <c r="D37" s="8" t="s">
        <v>295</v>
      </c>
      <c r="E37" s="39"/>
      <c r="F37" s="41"/>
      <c r="G37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7" s="9" t="str">
        <f>IFERROR(_xlfn.TEXTAFTER(Tabela13183037[[#This Row],[File Name]], "/", -1),"")</f>
        <v/>
      </c>
      <c r="J37" s="79"/>
      <c r="K37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7" s="9" t="str">
        <f>IFERROR(_xlfn.TEXTAFTER(Tabela13183037[[#This Row],[File Name2]], "/", -1),"")</f>
        <v/>
      </c>
      <c r="M37" s="79" t="str">
        <f>IF(Tabela13183037[[#This Row],[Symmetry]]="","",Tabela13183037[[#This Row],[Symmetry]]=Tabela13183037[[#This Row],[Symmetry2]])</f>
        <v/>
      </c>
      <c r="N37" s="79" t="str">
        <f>IF(Tabela13183037[[#This Row],[Database]]="","",Tabela13183037[[#This Row],[Database]]=Tabela13183037[[#This Row],[Database2]])</f>
        <v/>
      </c>
      <c r="O37" s="79" t="str">
        <f>IF(Tabela13183037[[#This Row],[File]]="","",Tabela13183037[[#This Row],[File]]=Tabela13183037[[#This Row],[File2]])</f>
        <v/>
      </c>
    </row>
    <row r="38" spans="4:15" ht="25.25" customHeight="1" x14ac:dyDescent="0.45">
      <c r="D38" s="8" t="s">
        <v>281</v>
      </c>
      <c r="E38" s="39"/>
      <c r="F38" s="41"/>
      <c r="G38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8" s="9" t="str">
        <f>IFERROR(_xlfn.TEXTAFTER(Tabela13183037[[#This Row],[File Name]], "/", -1),"")</f>
        <v/>
      </c>
      <c r="J38" s="79"/>
      <c r="K38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8" s="9" t="str">
        <f>IFERROR(_xlfn.TEXTAFTER(Tabela13183037[[#This Row],[File Name2]], "/", -1),"")</f>
        <v/>
      </c>
      <c r="M38" s="79" t="str">
        <f>IF(Tabela13183037[[#This Row],[Symmetry]]="","",Tabela13183037[[#This Row],[Symmetry]]=Tabela13183037[[#This Row],[Symmetry2]])</f>
        <v/>
      </c>
      <c r="N38" s="79" t="str">
        <f>IF(Tabela13183037[[#This Row],[Database]]="","",Tabela13183037[[#This Row],[Database]]=Tabela13183037[[#This Row],[Database2]])</f>
        <v/>
      </c>
      <c r="O38" s="79" t="str">
        <f>IF(Tabela13183037[[#This Row],[File]]="","",Tabela13183037[[#This Row],[File]]=Tabela13183037[[#This Row],[File2]])</f>
        <v/>
      </c>
    </row>
    <row r="39" spans="4:15" ht="25.25" customHeight="1" x14ac:dyDescent="0.45">
      <c r="D39" s="8" t="s">
        <v>282</v>
      </c>
      <c r="E39" s="39"/>
      <c r="F39" s="41"/>
      <c r="G39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39" s="9" t="str">
        <f>IFERROR(_xlfn.TEXTAFTER(Tabela13183037[[#This Row],[File Name]], "/", -1),"")</f>
        <v/>
      </c>
      <c r="J39" s="79"/>
      <c r="K39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39" s="9" t="str">
        <f>IFERROR(_xlfn.TEXTAFTER(Tabela13183037[[#This Row],[File Name2]], "/", -1),"")</f>
        <v/>
      </c>
      <c r="M39" s="79" t="str">
        <f>IF(Tabela13183037[[#This Row],[Symmetry]]="","",Tabela13183037[[#This Row],[Symmetry]]=Tabela13183037[[#This Row],[Symmetry2]])</f>
        <v/>
      </c>
      <c r="N39" s="79" t="str">
        <f>IF(Tabela13183037[[#This Row],[Database]]="","",Tabela13183037[[#This Row],[Database]]=Tabela13183037[[#This Row],[Database2]])</f>
        <v/>
      </c>
      <c r="O39" s="79" t="str">
        <f>IF(Tabela13183037[[#This Row],[File]]="","",Tabela13183037[[#This Row],[File]]=Tabela13183037[[#This Row],[File2]])</f>
        <v/>
      </c>
    </row>
    <row r="40" spans="4:15" ht="25.25" customHeight="1" x14ac:dyDescent="0.45">
      <c r="D40" s="8" t="s">
        <v>283</v>
      </c>
      <c r="E40" s="39"/>
      <c r="F40" s="41"/>
      <c r="G40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0" s="9" t="str">
        <f>IFERROR(_xlfn.TEXTAFTER(Tabela13183037[[#This Row],[File Name]], "/", -1),"")</f>
        <v/>
      </c>
      <c r="J40" s="79"/>
      <c r="K40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0" s="9" t="str">
        <f>IFERROR(_xlfn.TEXTAFTER(Tabela13183037[[#This Row],[File Name2]], "/", -1),"")</f>
        <v/>
      </c>
      <c r="M40" s="79" t="str">
        <f>IF(Tabela13183037[[#This Row],[Symmetry]]="","",Tabela13183037[[#This Row],[Symmetry]]=Tabela13183037[[#This Row],[Symmetry2]])</f>
        <v/>
      </c>
      <c r="N40" s="79" t="str">
        <f>IF(Tabela13183037[[#This Row],[Database]]="","",Tabela13183037[[#This Row],[Database]]=Tabela13183037[[#This Row],[Database2]])</f>
        <v/>
      </c>
      <c r="O40" s="79" t="str">
        <f>IF(Tabela13183037[[#This Row],[File]]="","",Tabela13183037[[#This Row],[File]]=Tabela13183037[[#This Row],[File2]])</f>
        <v/>
      </c>
    </row>
    <row r="41" spans="4:15" ht="25.25" customHeight="1" x14ac:dyDescent="0.45">
      <c r="D41" s="8" t="s">
        <v>284</v>
      </c>
      <c r="E41" s="39"/>
      <c r="F41" s="41"/>
      <c r="G41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1" s="9" t="str">
        <f>IFERROR(_xlfn.TEXTAFTER(Tabela13183037[[#This Row],[File Name]], "/", -1),"")</f>
        <v/>
      </c>
      <c r="J41" s="79"/>
      <c r="K41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1" s="9" t="str">
        <f>IFERROR(_xlfn.TEXTAFTER(Tabela13183037[[#This Row],[File Name2]], "/", -1),"")</f>
        <v/>
      </c>
      <c r="M41" s="79" t="str">
        <f>IF(Tabela13183037[[#This Row],[Symmetry]]="","",Tabela13183037[[#This Row],[Symmetry]]=Tabela13183037[[#This Row],[Symmetry2]])</f>
        <v/>
      </c>
      <c r="N41" s="79" t="str">
        <f>IF(Tabela13183037[[#This Row],[Database]]="","",Tabela13183037[[#This Row],[Database]]=Tabela13183037[[#This Row],[Database2]])</f>
        <v/>
      </c>
      <c r="O41" s="79" t="str">
        <f>IF(Tabela13183037[[#This Row],[File]]="","",Tabela13183037[[#This Row],[File]]=Tabela13183037[[#This Row],[File2]])</f>
        <v/>
      </c>
    </row>
    <row r="42" spans="4:15" ht="25.25" customHeight="1" x14ac:dyDescent="0.45">
      <c r="D42" s="8" t="s">
        <v>285</v>
      </c>
      <c r="E42" s="39"/>
      <c r="F42" s="41"/>
      <c r="G42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2" s="9" t="str">
        <f>IFERROR(_xlfn.TEXTAFTER(Tabela13183037[[#This Row],[File Name]], "/", -1),"")</f>
        <v/>
      </c>
      <c r="J42" s="79"/>
      <c r="K42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2" s="9" t="str">
        <f>IFERROR(_xlfn.TEXTAFTER(Tabela13183037[[#This Row],[File Name2]], "/", -1),"")</f>
        <v/>
      </c>
      <c r="M42" s="79" t="str">
        <f>IF(Tabela13183037[[#This Row],[Symmetry]]="","",Tabela13183037[[#This Row],[Symmetry]]=Tabela13183037[[#This Row],[Symmetry2]])</f>
        <v/>
      </c>
      <c r="N42" s="79" t="str">
        <f>IF(Tabela13183037[[#This Row],[Database]]="","",Tabela13183037[[#This Row],[Database]]=Tabela13183037[[#This Row],[Database2]])</f>
        <v/>
      </c>
      <c r="O42" s="79" t="str">
        <f>IF(Tabela13183037[[#This Row],[File]]="","",Tabela13183037[[#This Row],[File]]=Tabela13183037[[#This Row],[File2]])</f>
        <v/>
      </c>
    </row>
    <row r="43" spans="4:15" ht="25.25" customHeight="1" x14ac:dyDescent="0.45">
      <c r="D43" s="8" t="s">
        <v>286</v>
      </c>
      <c r="E43" s="39"/>
      <c r="F43" s="41"/>
      <c r="G43" s="41" t="str">
        <f>IFERROR(_xlfn.LET(
    _xlpm.txt, TRIM(SUBSTITUTE(SUBSTITUTE(Tabela13183037[[#This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3" s="9" t="str">
        <f>IFERROR(_xlfn.TEXTAFTER(Tabela13183037[[#This Row],[File Name]], "/", -1),"")</f>
        <v/>
      </c>
      <c r="J43" s="79"/>
      <c r="K43" s="79" t="str">
        <f>IFERROR(_xlfn.LET(
    _xlpm.txt, TRIM(SUBSTITUTE(SUBSTITUTE(Tabela13183037[[#This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3" s="9" t="str">
        <f>IFERROR(_xlfn.TEXTAFTER(Tabela13183037[[#This Row],[File Name2]], "/", -1),"")</f>
        <v/>
      </c>
      <c r="M43" s="79" t="str">
        <f>IF(Tabela13183037[[#This Row],[Symmetry]]="","",Tabela13183037[[#This Row],[Symmetry]]=Tabela13183037[[#This Row],[Symmetry2]])</f>
        <v/>
      </c>
      <c r="N43" s="79" t="str">
        <f>IF(Tabela13183037[[#This Row],[Database]]="","",Tabela13183037[[#This Row],[Database]]=Tabela13183037[[#This Row],[Database2]])</f>
        <v/>
      </c>
      <c r="O43" s="79" t="str">
        <f>IF(Tabela13183037[[#This Row],[File]]="","",Tabela13183037[[#This Row],[File]]=Tabela13183037[[#This Row],[File2]])</f>
        <v/>
      </c>
    </row>
    <row r="44" spans="4:15" x14ac:dyDescent="0.45">
      <c r="E44" s="39"/>
      <c r="F44" s="41"/>
      <c r="G44" s="41"/>
      <c r="J44" s="79"/>
    </row>
    <row r="45" spans="4:15" s="2" customFormat="1" ht="32" customHeight="1" x14ac:dyDescent="0.45">
      <c r="D45" s="10" t="s">
        <v>386</v>
      </c>
      <c r="E45" s="7" t="s">
        <v>16</v>
      </c>
      <c r="F45" s="7" t="s">
        <v>263</v>
      </c>
      <c r="G45" s="7" t="s">
        <v>370</v>
      </c>
      <c r="H45" s="84" t="s">
        <v>371</v>
      </c>
      <c r="I45" s="3" t="s">
        <v>20</v>
      </c>
      <c r="J45" s="3" t="s">
        <v>368</v>
      </c>
      <c r="K45" s="3" t="s">
        <v>372</v>
      </c>
      <c r="L45" s="85" t="s">
        <v>375</v>
      </c>
      <c r="M45" s="4" t="s">
        <v>369</v>
      </c>
      <c r="N45" s="4" t="s">
        <v>374</v>
      </c>
      <c r="O45" s="4" t="s">
        <v>373</v>
      </c>
    </row>
    <row r="46" spans="4:15" ht="25.25" customHeight="1" x14ac:dyDescent="0.45">
      <c r="D46" s="8" t="s">
        <v>296</v>
      </c>
      <c r="E46" s="39"/>
      <c r="F46" s="41"/>
      <c r="G46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6" s="9" t="str">
        <f>IFERROR(_xlfn.TEXTAFTER(Tabela1318303738[[#This Row],[File Name]], "/", -1),"")</f>
        <v/>
      </c>
      <c r="I46" s="41"/>
      <c r="J46" s="41"/>
      <c r="K46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6" s="9" t="str">
        <f>IFERROR(_xlfn.TEXTAFTER(Tabela1318303738[[#This Row],[File Name2]], "/", -1),"")</f>
        <v/>
      </c>
      <c r="M46" s="41" t="str">
        <f>IF(Tabela1318303738[[#This Row],[Symmetry]]="","",Tabela1318303738[[#This Row],[Symmetry]]=Tabela1318303738[[#This Row],[Symmetry2]])</f>
        <v/>
      </c>
      <c r="N46" s="41" t="str">
        <f>IF(Tabela1318303738[[#This Row],[Database]]="","",Tabela1318303738[[#This Row],[Database]]=Tabela1318303738[[#This Row],[Database2]])</f>
        <v/>
      </c>
      <c r="O46" s="41" t="str">
        <f>IF(Tabela1318303738[[#This Row],[File]]="","",Tabela1318303738[[#This Row],[File]]=Tabela1318303738[[#This Row],[File2]])</f>
        <v/>
      </c>
    </row>
    <row r="47" spans="4:15" ht="25.25" customHeight="1" x14ac:dyDescent="0.45">
      <c r="D47" s="8" t="s">
        <v>297</v>
      </c>
      <c r="E47" s="39"/>
      <c r="F47" s="41"/>
      <c r="G47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7" s="9" t="str">
        <f>IFERROR(_xlfn.TEXTAFTER(Tabela1318303738[[#This Row],[File Name]], "/", -1),"")</f>
        <v/>
      </c>
      <c r="I47" s="41"/>
      <c r="J47" s="41"/>
      <c r="K47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7" s="9" t="str">
        <f>IFERROR(_xlfn.TEXTAFTER(Tabela1318303738[[#This Row],[File Name2]], "/", -1),"")</f>
        <v/>
      </c>
      <c r="M47" s="41" t="str">
        <f>IF(Tabela1318303738[[#This Row],[Symmetry]]="","",Tabela1318303738[[#This Row],[Symmetry]]=Tabela1318303738[[#This Row],[Symmetry2]])</f>
        <v/>
      </c>
      <c r="N47" s="41" t="str">
        <f>IF(Tabela1318303738[[#This Row],[Database]]="","",Tabela1318303738[[#This Row],[Database]]=Tabela1318303738[[#This Row],[Database2]])</f>
        <v/>
      </c>
      <c r="O47" s="41" t="str">
        <f>IF(Tabela1318303738[[#This Row],[File]]="","",Tabela1318303738[[#This Row],[File]]=Tabela1318303738[[#This Row],[File2]])</f>
        <v/>
      </c>
    </row>
    <row r="48" spans="4:15" ht="25.25" customHeight="1" x14ac:dyDescent="0.45">
      <c r="D48" s="8" t="s">
        <v>298</v>
      </c>
      <c r="E48" s="39"/>
      <c r="F48" s="41"/>
      <c r="G48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8" s="9" t="str">
        <f>IFERROR(_xlfn.TEXTAFTER(Tabela1318303738[[#This Row],[File Name]], "/", -1),"")</f>
        <v/>
      </c>
      <c r="I48" s="41"/>
      <c r="J48" s="41"/>
      <c r="K48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8" s="9" t="str">
        <f>IFERROR(_xlfn.TEXTAFTER(Tabela1318303738[[#This Row],[File Name2]], "/", -1),"")</f>
        <v/>
      </c>
      <c r="M48" s="41" t="str">
        <f>IF(Tabela1318303738[[#This Row],[Symmetry]]="","",Tabela1318303738[[#This Row],[Symmetry]]=Tabela1318303738[[#This Row],[Symmetry2]])</f>
        <v/>
      </c>
      <c r="N48" s="41" t="str">
        <f>IF(Tabela1318303738[[#This Row],[Database]]="","",Tabela1318303738[[#This Row],[Database]]=Tabela1318303738[[#This Row],[Database2]])</f>
        <v/>
      </c>
      <c r="O48" s="41" t="str">
        <f>IF(Tabela1318303738[[#This Row],[File]]="","",Tabela1318303738[[#This Row],[File]]=Tabela1318303738[[#This Row],[File2]])</f>
        <v/>
      </c>
    </row>
    <row r="49" spans="4:15" ht="25.25" customHeight="1" x14ac:dyDescent="0.45">
      <c r="D49" s="8" t="s">
        <v>299</v>
      </c>
      <c r="E49" s="39"/>
      <c r="F49" s="41"/>
      <c r="G49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49" s="9" t="str">
        <f>IFERROR(_xlfn.TEXTAFTER(Tabela1318303738[[#This Row],[File Name]], "/", -1),"")</f>
        <v/>
      </c>
      <c r="I49" s="41"/>
      <c r="J49" s="41"/>
      <c r="K49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49" s="9" t="str">
        <f>IFERROR(_xlfn.TEXTAFTER(Tabela1318303738[[#This Row],[File Name2]], "/", -1),"")</f>
        <v/>
      </c>
      <c r="M49" s="41" t="str">
        <f>IF(Tabela1318303738[[#This Row],[Symmetry]]="","",Tabela1318303738[[#This Row],[Symmetry]]=Tabela1318303738[[#This Row],[Symmetry2]])</f>
        <v/>
      </c>
      <c r="N49" s="41" t="str">
        <f>IF(Tabela1318303738[[#This Row],[Database]]="","",Tabela1318303738[[#This Row],[Database]]=Tabela1318303738[[#This Row],[Database2]])</f>
        <v/>
      </c>
      <c r="O49" s="41" t="str">
        <f>IF(Tabela1318303738[[#This Row],[File]]="","",Tabela1318303738[[#This Row],[File]]=Tabela1318303738[[#This Row],[File2]])</f>
        <v/>
      </c>
    </row>
    <row r="50" spans="4:15" ht="25.25" customHeight="1" x14ac:dyDescent="0.45">
      <c r="D50" s="8" t="s">
        <v>300</v>
      </c>
      <c r="E50" s="39"/>
      <c r="F50" s="41"/>
      <c r="G50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0" s="9" t="str">
        <f>IFERROR(_xlfn.TEXTAFTER(Tabela1318303738[[#This Row],[File Name]], "/", -1),"")</f>
        <v/>
      </c>
      <c r="I50" s="41"/>
      <c r="J50" s="41"/>
      <c r="K50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0" s="9" t="str">
        <f>IFERROR(_xlfn.TEXTAFTER(Tabela1318303738[[#This Row],[File Name2]], "/", -1),"")</f>
        <v/>
      </c>
      <c r="M50" s="41" t="str">
        <f>IF(Tabela1318303738[[#This Row],[Symmetry]]="","",Tabela1318303738[[#This Row],[Symmetry]]=Tabela1318303738[[#This Row],[Symmetry2]])</f>
        <v/>
      </c>
      <c r="N50" s="41" t="str">
        <f>IF(Tabela1318303738[[#This Row],[Database]]="","",Tabela1318303738[[#This Row],[Database]]=Tabela1318303738[[#This Row],[Database2]])</f>
        <v/>
      </c>
      <c r="O50" s="41" t="str">
        <f>IF(Tabela1318303738[[#This Row],[File]]="","",Tabela1318303738[[#This Row],[File]]=Tabela1318303738[[#This Row],[File2]])</f>
        <v/>
      </c>
    </row>
    <row r="51" spans="4:15" ht="25.25" customHeight="1" x14ac:dyDescent="0.45">
      <c r="D51" s="8" t="s">
        <v>301</v>
      </c>
      <c r="E51" s="39"/>
      <c r="F51" s="41"/>
      <c r="G51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1" s="9" t="str">
        <f>IFERROR(_xlfn.TEXTAFTER(Tabela1318303738[[#This Row],[File Name]], "/", -1),"")</f>
        <v/>
      </c>
      <c r="I51" s="41"/>
      <c r="J51" s="41"/>
      <c r="K51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1" s="9" t="str">
        <f>IFERROR(_xlfn.TEXTAFTER(Tabela1318303738[[#This Row],[File Name2]], "/", -1),"")</f>
        <v/>
      </c>
      <c r="M51" s="41" t="str">
        <f>IF(Tabela1318303738[[#This Row],[Symmetry]]="","",Tabela1318303738[[#This Row],[Symmetry]]=Tabela1318303738[[#This Row],[Symmetry2]])</f>
        <v/>
      </c>
      <c r="N51" s="41" t="str">
        <f>IF(Tabela1318303738[[#This Row],[Database]]="","",Tabela1318303738[[#This Row],[Database]]=Tabela1318303738[[#This Row],[Database2]])</f>
        <v/>
      </c>
      <c r="O51" s="41" t="str">
        <f>IF(Tabela1318303738[[#This Row],[File]]="","",Tabela1318303738[[#This Row],[File]]=Tabela1318303738[[#This Row],[File2]])</f>
        <v/>
      </c>
    </row>
    <row r="52" spans="4:15" ht="25.25" customHeight="1" x14ac:dyDescent="0.45">
      <c r="D52" s="8" t="s">
        <v>302</v>
      </c>
      <c r="E52" s="39"/>
      <c r="F52" s="41"/>
      <c r="G52" s="41" t="str">
        <f>IFERROR(_xlfn.LET(
    _xlpm.txt, TRIM(SUBSTITUTE(SUBSTITUTE(Tabela1318303738[[#This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2" s="9" t="str">
        <f>IFERROR(_xlfn.TEXTAFTER(Tabela1318303738[[#This Row],[File Name]], "/", -1),"")</f>
        <v/>
      </c>
      <c r="I52" s="41"/>
      <c r="J52" s="41"/>
      <c r="K52" s="41" t="str">
        <f>IFERROR(_xlfn.LET(
    _xlpm.txt, TRIM(SUBSTITUTE(SUBSTITUTE(Tabela1318303738[[#This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2" s="9" t="str">
        <f>IFERROR(_xlfn.TEXTAFTER(Tabela1318303738[[#This Row],[File Name2]], "/", -1),"")</f>
        <v/>
      </c>
      <c r="M52" s="41" t="str">
        <f>IF(Tabela1318303738[[#This Row],[Symmetry]]="","",Tabela1318303738[[#This Row],[Symmetry]]=Tabela1318303738[[#This Row],[Symmetry2]])</f>
        <v/>
      </c>
      <c r="N52" s="41" t="str">
        <f>IF(Tabela1318303738[[#This Row],[Database]]="","",Tabela1318303738[[#This Row],[Database]]=Tabela1318303738[[#This Row],[Database2]])</f>
        <v/>
      </c>
      <c r="O52" s="41" t="str">
        <f>IF(Tabela1318303738[[#This Row],[File]]="","",Tabela1318303738[[#This Row],[File]]=Tabela1318303738[[#This Row],[File2]])</f>
        <v/>
      </c>
    </row>
    <row r="53" spans="4:15" ht="22.9" thickBot="1" x14ac:dyDescent="0.5"/>
    <row r="54" spans="4:15" s="2" customFormat="1" ht="32" customHeight="1" thickBot="1" x14ac:dyDescent="0.5">
      <c r="D54" s="70" t="s">
        <v>387</v>
      </c>
      <c r="E54" s="7" t="s">
        <v>16</v>
      </c>
      <c r="F54" s="7" t="s">
        <v>263</v>
      </c>
      <c r="G54" s="7" t="s">
        <v>370</v>
      </c>
      <c r="H54" s="84" t="s">
        <v>371</v>
      </c>
      <c r="I54" s="3" t="s">
        <v>20</v>
      </c>
      <c r="J54" s="3" t="s">
        <v>368</v>
      </c>
      <c r="K54" s="3" t="s">
        <v>372</v>
      </c>
      <c r="L54" s="85" t="s">
        <v>375</v>
      </c>
      <c r="M54" s="4" t="s">
        <v>369</v>
      </c>
      <c r="N54" s="4" t="s">
        <v>374</v>
      </c>
      <c r="O54" s="4" t="s">
        <v>373</v>
      </c>
    </row>
    <row r="55" spans="4:15" ht="25.25" customHeight="1" x14ac:dyDescent="0.45">
      <c r="D55" s="71" t="s">
        <v>303</v>
      </c>
      <c r="E55" s="39"/>
      <c r="F55" s="41"/>
      <c r="G55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5" s="9" t="str">
        <f>IFERROR(_xlfn.TEXTAFTER(Tabela131830373839[[#This Row],[File Name]], "/", -1),"")</f>
        <v/>
      </c>
      <c r="I55" s="41"/>
      <c r="J55" s="41"/>
      <c r="K55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5" s="9" t="str">
        <f>IFERROR(_xlfn.TEXTAFTER(Tabela131830373839[[#This Row],[File Name2]], "/", -1),"")</f>
        <v/>
      </c>
      <c r="M55" s="41" t="str">
        <f>IF(Tabela131830373839[[#This Row],[Symmetry]]="","",Tabela131830373839[[#This Row],[Symmetry]]=Tabela131830373839[[#This Row],[Symmetry2]])</f>
        <v/>
      </c>
      <c r="N55" s="41" t="str">
        <f>IF(Tabela131830373839[[#This Row],[Database]]="","",Tabela131830373839[[#This Row],[Database]]=Tabela131830373839[[#This Row],[Database2]])</f>
        <v/>
      </c>
      <c r="O55" s="41" t="str">
        <f>IF(Tabela131830373839[[#This Row],[File]]="","",Tabela131830373839[[#This Row],[File]]=Tabela131830373839[[#This Row],[File2]])</f>
        <v/>
      </c>
    </row>
    <row r="56" spans="4:15" ht="25.25" customHeight="1" x14ac:dyDescent="0.45">
      <c r="D56" s="73" t="s">
        <v>304</v>
      </c>
      <c r="E56" s="39"/>
      <c r="F56" s="41"/>
      <c r="G56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6" s="9" t="str">
        <f>IFERROR(_xlfn.TEXTAFTER(Tabela131830373839[[#This Row],[File Name]], "/", -1),"")</f>
        <v/>
      </c>
      <c r="I56" s="41"/>
      <c r="J56" s="41"/>
      <c r="K56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6" s="9" t="str">
        <f>IFERROR(_xlfn.TEXTAFTER(Tabela131830373839[[#This Row],[File Name2]], "/", -1),"")</f>
        <v/>
      </c>
      <c r="M56" s="41" t="str">
        <f>IF(Tabela131830373839[[#This Row],[Symmetry]]="","",Tabela131830373839[[#This Row],[Symmetry]]=Tabela131830373839[[#This Row],[Symmetry2]])</f>
        <v/>
      </c>
      <c r="N56" s="41" t="str">
        <f>IF(Tabela131830373839[[#This Row],[Database]]="","",Tabela131830373839[[#This Row],[Database]]=Tabela131830373839[[#This Row],[Database2]])</f>
        <v/>
      </c>
      <c r="O56" s="41" t="str">
        <f>IF(Tabela131830373839[[#This Row],[File]]="","",Tabela131830373839[[#This Row],[File]]=Tabela131830373839[[#This Row],[File2]])</f>
        <v/>
      </c>
    </row>
    <row r="57" spans="4:15" ht="25.25" customHeight="1" x14ac:dyDescent="0.45">
      <c r="D57" s="75" t="s">
        <v>305</v>
      </c>
      <c r="E57" s="39"/>
      <c r="F57" s="41"/>
      <c r="G57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7" s="9" t="str">
        <f>IFERROR(_xlfn.TEXTAFTER(Tabela131830373839[[#This Row],[File Name]], "/", -1),"")</f>
        <v/>
      </c>
      <c r="I57" s="41"/>
      <c r="J57" s="41"/>
      <c r="K57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7" s="9" t="str">
        <f>IFERROR(_xlfn.TEXTAFTER(Tabela131830373839[[#This Row],[File Name2]], "/", -1),"")</f>
        <v/>
      </c>
      <c r="M57" s="41" t="str">
        <f>IF(Tabela131830373839[[#This Row],[Symmetry]]="","",Tabela131830373839[[#This Row],[Symmetry]]=Tabela131830373839[[#This Row],[Symmetry2]])</f>
        <v/>
      </c>
      <c r="N57" s="41" t="str">
        <f>IF(Tabela131830373839[[#This Row],[Database]]="","",Tabela131830373839[[#This Row],[Database]]=Tabela131830373839[[#This Row],[Database2]])</f>
        <v/>
      </c>
      <c r="O57" s="41" t="str">
        <f>IF(Tabela131830373839[[#This Row],[File]]="","",Tabela131830373839[[#This Row],[File]]=Tabela131830373839[[#This Row],[File2]])</f>
        <v/>
      </c>
    </row>
    <row r="58" spans="4:15" ht="25.25" customHeight="1" x14ac:dyDescent="0.45">
      <c r="D58" s="75" t="s">
        <v>306</v>
      </c>
      <c r="E58" s="39"/>
      <c r="F58" s="41"/>
      <c r="G58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8" s="9" t="str">
        <f>IFERROR(_xlfn.TEXTAFTER(Tabela131830373839[[#This Row],[File Name]], "/", -1),"")</f>
        <v/>
      </c>
      <c r="I58" s="41"/>
      <c r="J58" s="41"/>
      <c r="K58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8" s="9" t="str">
        <f>IFERROR(_xlfn.TEXTAFTER(Tabela131830373839[[#This Row],[File Name2]], "/", -1),"")</f>
        <v/>
      </c>
      <c r="M58" s="41" t="str">
        <f>IF(Tabela131830373839[[#This Row],[Symmetry]]="","",Tabela131830373839[[#This Row],[Symmetry]]=Tabela131830373839[[#This Row],[Symmetry2]])</f>
        <v/>
      </c>
      <c r="N58" s="41" t="str">
        <f>IF(Tabela131830373839[[#This Row],[Database]]="","",Tabela131830373839[[#This Row],[Database]]=Tabela131830373839[[#This Row],[Database2]])</f>
        <v/>
      </c>
      <c r="O58" s="41" t="str">
        <f>IF(Tabela131830373839[[#This Row],[File]]="","",Tabela131830373839[[#This Row],[File]]=Tabela131830373839[[#This Row],[File2]])</f>
        <v/>
      </c>
    </row>
    <row r="59" spans="4:15" ht="25.25" customHeight="1" x14ac:dyDescent="0.45">
      <c r="D59" s="75" t="s">
        <v>307</v>
      </c>
      <c r="E59" s="39"/>
      <c r="F59" s="41"/>
      <c r="G59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59" s="9" t="str">
        <f>IFERROR(_xlfn.TEXTAFTER(Tabela131830373839[[#This Row],[File Name]], "/", -1),"")</f>
        <v/>
      </c>
      <c r="I59" s="41"/>
      <c r="J59" s="41"/>
      <c r="K59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59" s="9" t="str">
        <f>IFERROR(_xlfn.TEXTAFTER(Tabela131830373839[[#This Row],[File Name2]], "/", -1),"")</f>
        <v/>
      </c>
      <c r="M59" s="41" t="str">
        <f>IF(Tabela131830373839[[#This Row],[Symmetry]]="","",Tabela131830373839[[#This Row],[Symmetry]]=Tabela131830373839[[#This Row],[Symmetry2]])</f>
        <v/>
      </c>
      <c r="N59" s="41" t="str">
        <f>IF(Tabela131830373839[[#This Row],[Database]]="","",Tabela131830373839[[#This Row],[Database]]=Tabela131830373839[[#This Row],[Database2]])</f>
        <v/>
      </c>
      <c r="O59" s="41" t="str">
        <f>IF(Tabela131830373839[[#This Row],[File]]="","",Tabela131830373839[[#This Row],[File]]=Tabela131830373839[[#This Row],[File2]])</f>
        <v/>
      </c>
    </row>
    <row r="60" spans="4:15" ht="25.25" customHeight="1" x14ac:dyDescent="0.45">
      <c r="D60" s="75" t="s">
        <v>308</v>
      </c>
      <c r="E60" s="39"/>
      <c r="F60" s="41"/>
      <c r="G60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0" s="9" t="str">
        <f>IFERROR(_xlfn.TEXTAFTER(Tabela131830373839[[#This Row],[File Name]], "/", -1),"")</f>
        <v/>
      </c>
      <c r="I60" s="41"/>
      <c r="J60" s="41"/>
      <c r="K60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0" s="9" t="str">
        <f>IFERROR(_xlfn.TEXTAFTER(Tabela131830373839[[#This Row],[File Name2]], "/", -1),"")</f>
        <v/>
      </c>
      <c r="M60" s="41" t="str">
        <f>IF(Tabela131830373839[[#This Row],[Symmetry]]="","",Tabela131830373839[[#This Row],[Symmetry]]=Tabela131830373839[[#This Row],[Symmetry2]])</f>
        <v/>
      </c>
      <c r="N60" s="41" t="str">
        <f>IF(Tabela131830373839[[#This Row],[Database]]="","",Tabela131830373839[[#This Row],[Database]]=Tabela131830373839[[#This Row],[Database2]])</f>
        <v/>
      </c>
      <c r="O60" s="41" t="str">
        <f>IF(Tabela131830373839[[#This Row],[File]]="","",Tabela131830373839[[#This Row],[File]]=Tabela131830373839[[#This Row],[File2]])</f>
        <v/>
      </c>
    </row>
    <row r="61" spans="4:15" ht="25.25" customHeight="1" x14ac:dyDescent="0.45">
      <c r="D61" s="75" t="s">
        <v>309</v>
      </c>
      <c r="E61" s="39"/>
      <c r="F61" s="41"/>
      <c r="G61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1" s="9" t="str">
        <f>IFERROR(_xlfn.TEXTAFTER(Tabela131830373839[[#This Row],[File Name]], "/", -1),"")</f>
        <v/>
      </c>
      <c r="I61" s="41"/>
      <c r="J61" s="41"/>
      <c r="K61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1" s="9" t="str">
        <f>IFERROR(_xlfn.TEXTAFTER(Tabela131830373839[[#This Row],[File Name2]], "/", -1),"")</f>
        <v/>
      </c>
      <c r="M61" s="41" t="str">
        <f>IF(Tabela131830373839[[#This Row],[Symmetry]]="","",Tabela131830373839[[#This Row],[Symmetry]]=Tabela131830373839[[#This Row],[Symmetry2]])</f>
        <v/>
      </c>
      <c r="N61" s="41" t="str">
        <f>IF(Tabela131830373839[[#This Row],[Database]]="","",Tabela131830373839[[#This Row],[Database]]=Tabela131830373839[[#This Row],[Database2]])</f>
        <v/>
      </c>
      <c r="O61" s="41" t="str">
        <f>IF(Tabela131830373839[[#This Row],[File]]="","",Tabela131830373839[[#This Row],[File]]=Tabela131830373839[[#This Row],[File2]])</f>
        <v/>
      </c>
    </row>
    <row r="62" spans="4:15" ht="25.25" customHeight="1" x14ac:dyDescent="0.45">
      <c r="D62" s="75" t="s">
        <v>310</v>
      </c>
      <c r="E62" s="39"/>
      <c r="F62" s="41"/>
      <c r="G62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2" s="9" t="str">
        <f>IFERROR(_xlfn.TEXTAFTER(Tabela131830373839[[#This Row],[File Name]], "/", -1),"")</f>
        <v/>
      </c>
      <c r="I62" s="41"/>
      <c r="J62" s="41"/>
      <c r="K62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2" s="9" t="str">
        <f>IFERROR(_xlfn.TEXTAFTER(Tabela131830373839[[#This Row],[File Name2]], "/", -1),"")</f>
        <v/>
      </c>
      <c r="M62" s="41" t="str">
        <f>IF(Tabela131830373839[[#This Row],[Symmetry]]="","",Tabela131830373839[[#This Row],[Symmetry]]=Tabela131830373839[[#This Row],[Symmetry2]])</f>
        <v/>
      </c>
      <c r="N62" s="41" t="str">
        <f>IF(Tabela131830373839[[#This Row],[Database]]="","",Tabela131830373839[[#This Row],[Database]]=Tabela131830373839[[#This Row],[Database2]])</f>
        <v/>
      </c>
      <c r="O62" s="41" t="str">
        <f>IF(Tabela131830373839[[#This Row],[File]]="","",Tabela131830373839[[#This Row],[File]]=Tabela131830373839[[#This Row],[File2]])</f>
        <v/>
      </c>
    </row>
    <row r="63" spans="4:15" ht="25.25" customHeight="1" x14ac:dyDescent="0.45">
      <c r="D63" s="75" t="s">
        <v>311</v>
      </c>
      <c r="E63" s="39"/>
      <c r="F63" s="41"/>
      <c r="G63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3" s="9" t="str">
        <f>IFERROR(_xlfn.TEXTAFTER(Tabela131830373839[[#This Row],[File Name]], "/", -1),"")</f>
        <v/>
      </c>
      <c r="I63" s="41"/>
      <c r="J63" s="41"/>
      <c r="K63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3" s="9" t="str">
        <f>IFERROR(_xlfn.TEXTAFTER(Tabela131830373839[[#This Row],[File Name2]], "/", -1),"")</f>
        <v/>
      </c>
      <c r="M63" s="41" t="str">
        <f>IF(Tabela131830373839[[#This Row],[Symmetry]]="","",Tabela131830373839[[#This Row],[Symmetry]]=Tabela131830373839[[#This Row],[Symmetry2]])</f>
        <v/>
      </c>
      <c r="N63" s="41" t="str">
        <f>IF(Tabela131830373839[[#This Row],[Database]]="","",Tabela131830373839[[#This Row],[Database]]=Tabela131830373839[[#This Row],[Database2]])</f>
        <v/>
      </c>
      <c r="O63" s="41" t="str">
        <f>IF(Tabela131830373839[[#This Row],[File]]="","",Tabela131830373839[[#This Row],[File]]=Tabela131830373839[[#This Row],[File2]])</f>
        <v/>
      </c>
    </row>
    <row r="64" spans="4:15" ht="25.25" customHeight="1" x14ac:dyDescent="0.45">
      <c r="D64" s="75" t="s">
        <v>312</v>
      </c>
      <c r="E64" s="39"/>
      <c r="F64" s="41"/>
      <c r="G64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4" s="9" t="str">
        <f>IFERROR(_xlfn.TEXTAFTER(Tabela131830373839[[#This Row],[File Name]], "/", -1),"")</f>
        <v/>
      </c>
      <c r="I64" s="41"/>
      <c r="J64" s="41"/>
      <c r="K64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4" s="9" t="str">
        <f>IFERROR(_xlfn.TEXTAFTER(Tabela131830373839[[#This Row],[File Name2]], "/", -1),"")</f>
        <v/>
      </c>
      <c r="M64" s="41" t="str">
        <f>IF(Tabela131830373839[[#This Row],[Symmetry]]="","",Tabela131830373839[[#This Row],[Symmetry]]=Tabela131830373839[[#This Row],[Symmetry2]])</f>
        <v/>
      </c>
      <c r="N64" s="41" t="str">
        <f>IF(Tabela131830373839[[#This Row],[Database]]="","",Tabela131830373839[[#This Row],[Database]]=Tabela131830373839[[#This Row],[Database2]])</f>
        <v/>
      </c>
      <c r="O64" s="41" t="str">
        <f>IF(Tabela131830373839[[#This Row],[File]]="","",Tabela131830373839[[#This Row],[File]]=Tabela131830373839[[#This Row],[File2]])</f>
        <v/>
      </c>
    </row>
    <row r="65" spans="4:15" ht="25.25" customHeight="1" x14ac:dyDescent="0.45">
      <c r="D65" s="75" t="s">
        <v>313</v>
      </c>
      <c r="E65" s="39"/>
      <c r="F65" s="41"/>
      <c r="G65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5" s="9" t="str">
        <f>IFERROR(_xlfn.TEXTAFTER(Tabela131830373839[[#This Row],[File Name]], "/", -1),"")</f>
        <v/>
      </c>
      <c r="I65" s="41"/>
      <c r="J65" s="41"/>
      <c r="K65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5" s="9" t="str">
        <f>IFERROR(_xlfn.TEXTAFTER(Tabela131830373839[[#This Row],[File Name2]], "/", -1),"")</f>
        <v/>
      </c>
      <c r="M65" s="41" t="str">
        <f>IF(Tabela131830373839[[#This Row],[Symmetry]]="","",Tabela131830373839[[#This Row],[Symmetry]]=Tabela131830373839[[#This Row],[Symmetry2]])</f>
        <v/>
      </c>
      <c r="N65" s="41" t="str">
        <f>IF(Tabela131830373839[[#This Row],[Database]]="","",Tabela131830373839[[#This Row],[Database]]=Tabela131830373839[[#This Row],[Database2]])</f>
        <v/>
      </c>
      <c r="O65" s="41" t="str">
        <f>IF(Tabela131830373839[[#This Row],[File]]="","",Tabela131830373839[[#This Row],[File]]=Tabela131830373839[[#This Row],[File2]])</f>
        <v/>
      </c>
    </row>
    <row r="66" spans="4:15" ht="25.25" customHeight="1" x14ac:dyDescent="0.45">
      <c r="D66" s="75" t="s">
        <v>314</v>
      </c>
      <c r="E66" s="39"/>
      <c r="F66" s="41"/>
      <c r="G66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6" s="9" t="str">
        <f>IFERROR(_xlfn.TEXTAFTER(Tabela131830373839[[#This Row],[File Name]], "/", -1),"")</f>
        <v/>
      </c>
      <c r="I66" s="41"/>
      <c r="J66" s="41"/>
      <c r="K66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6" s="9" t="str">
        <f>IFERROR(_xlfn.TEXTAFTER(Tabela131830373839[[#This Row],[File Name2]], "/", -1),"")</f>
        <v/>
      </c>
      <c r="M66" s="41" t="str">
        <f>IF(Tabela131830373839[[#This Row],[Symmetry]]="","",Tabela131830373839[[#This Row],[Symmetry]]=Tabela131830373839[[#This Row],[Symmetry2]])</f>
        <v/>
      </c>
      <c r="N66" s="41" t="str">
        <f>IF(Tabela131830373839[[#This Row],[Database]]="","",Tabela131830373839[[#This Row],[Database]]=Tabela131830373839[[#This Row],[Database2]])</f>
        <v/>
      </c>
      <c r="O66" s="41" t="str">
        <f>IF(Tabela131830373839[[#This Row],[File]]="","",Tabela131830373839[[#This Row],[File]]=Tabela131830373839[[#This Row],[File2]])</f>
        <v/>
      </c>
    </row>
    <row r="67" spans="4:15" ht="25.25" customHeight="1" x14ac:dyDescent="0.45">
      <c r="D67" s="75" t="s">
        <v>315</v>
      </c>
      <c r="E67" s="39"/>
      <c r="F67" s="41"/>
      <c r="G67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7" s="9" t="str">
        <f>IFERROR(_xlfn.TEXTAFTER(Tabela131830373839[[#This Row],[File Name]], "/", -1),"")</f>
        <v/>
      </c>
      <c r="I67" s="41"/>
      <c r="J67" s="41"/>
      <c r="K67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7" s="9" t="str">
        <f>IFERROR(_xlfn.TEXTAFTER(Tabela131830373839[[#This Row],[File Name2]], "/", -1),"")</f>
        <v/>
      </c>
      <c r="M67" s="41" t="str">
        <f>IF(Tabela131830373839[[#This Row],[Symmetry]]="","",Tabela131830373839[[#This Row],[Symmetry]]=Tabela131830373839[[#This Row],[Symmetry2]])</f>
        <v/>
      </c>
      <c r="N67" s="41" t="str">
        <f>IF(Tabela131830373839[[#This Row],[Database]]="","",Tabela131830373839[[#This Row],[Database]]=Tabela131830373839[[#This Row],[Database2]])</f>
        <v/>
      </c>
      <c r="O67" s="41" t="str">
        <f>IF(Tabela131830373839[[#This Row],[File]]="","",Tabela131830373839[[#This Row],[File]]=Tabela131830373839[[#This Row],[File2]])</f>
        <v/>
      </c>
    </row>
    <row r="68" spans="4:15" ht="25.25" customHeight="1" x14ac:dyDescent="0.45">
      <c r="D68" s="75" t="s">
        <v>316</v>
      </c>
      <c r="E68" s="39"/>
      <c r="F68" s="41"/>
      <c r="G68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8" s="9" t="str">
        <f>IFERROR(_xlfn.TEXTAFTER(Tabela131830373839[[#This Row],[File Name]], "/", -1),"")</f>
        <v/>
      </c>
      <c r="I68" s="41"/>
      <c r="J68" s="41"/>
      <c r="K68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8" s="9" t="str">
        <f>IFERROR(_xlfn.TEXTAFTER(Tabela131830373839[[#This Row],[File Name2]], "/", -1),"")</f>
        <v/>
      </c>
      <c r="M68" s="41" t="str">
        <f>IF(Tabela131830373839[[#This Row],[Symmetry]]="","",Tabela131830373839[[#This Row],[Symmetry]]=Tabela131830373839[[#This Row],[Symmetry2]])</f>
        <v/>
      </c>
      <c r="N68" s="41" t="str">
        <f>IF(Tabela131830373839[[#This Row],[Database]]="","",Tabela131830373839[[#This Row],[Database]]=Tabela131830373839[[#This Row],[Database2]])</f>
        <v/>
      </c>
      <c r="O68" s="41" t="str">
        <f>IF(Tabela131830373839[[#This Row],[File]]="","",Tabela131830373839[[#This Row],[File]]=Tabela131830373839[[#This Row],[File2]])</f>
        <v/>
      </c>
    </row>
    <row r="69" spans="4:15" ht="25.25" customHeight="1" x14ac:dyDescent="0.45">
      <c r="D69" s="75" t="s">
        <v>317</v>
      </c>
      <c r="E69" s="39"/>
      <c r="F69" s="41"/>
      <c r="G69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69" s="9" t="str">
        <f>IFERROR(_xlfn.TEXTAFTER(Tabela131830373839[[#This Row],[File Name]], "/", -1),"")</f>
        <v/>
      </c>
      <c r="I69" s="41"/>
      <c r="J69" s="41"/>
      <c r="K69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69" s="9" t="str">
        <f>IFERROR(_xlfn.TEXTAFTER(Tabela131830373839[[#This Row],[File Name2]], "/", -1),"")</f>
        <v/>
      </c>
      <c r="M69" s="41" t="str">
        <f>IF(Tabela131830373839[[#This Row],[Symmetry]]="","",Tabela131830373839[[#This Row],[Symmetry]]=Tabela131830373839[[#This Row],[Symmetry2]])</f>
        <v/>
      </c>
      <c r="N69" s="41" t="str">
        <f>IF(Tabela131830373839[[#This Row],[Database]]="","",Tabela131830373839[[#This Row],[Database]]=Tabela131830373839[[#This Row],[Database2]])</f>
        <v/>
      </c>
      <c r="O69" s="41" t="str">
        <f>IF(Tabela131830373839[[#This Row],[File]]="","",Tabela131830373839[[#This Row],[File]]=Tabela131830373839[[#This Row],[File2]])</f>
        <v/>
      </c>
    </row>
    <row r="70" spans="4:15" ht="25.25" customHeight="1" x14ac:dyDescent="0.45">
      <c r="D70" s="75" t="s">
        <v>318</v>
      </c>
      <c r="E70" s="39"/>
      <c r="F70" s="41"/>
      <c r="G70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0" s="9" t="str">
        <f>IFERROR(_xlfn.TEXTAFTER(Tabela131830373839[[#This Row],[File Name]], "/", -1),"")</f>
        <v/>
      </c>
      <c r="I70" s="41"/>
      <c r="J70" s="41"/>
      <c r="K70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0" s="9" t="str">
        <f>IFERROR(_xlfn.TEXTAFTER(Tabela131830373839[[#This Row],[File Name2]], "/", -1),"")</f>
        <v/>
      </c>
      <c r="M70" s="41" t="str">
        <f>IF(Tabela131830373839[[#This Row],[Symmetry]]="","",Tabela131830373839[[#This Row],[Symmetry]]=Tabela131830373839[[#This Row],[Symmetry2]])</f>
        <v/>
      </c>
      <c r="N70" s="41" t="str">
        <f>IF(Tabela131830373839[[#This Row],[Database]]="","",Tabela131830373839[[#This Row],[Database]]=Tabela131830373839[[#This Row],[Database2]])</f>
        <v/>
      </c>
      <c r="O70" s="41" t="str">
        <f>IF(Tabela131830373839[[#This Row],[File]]="","",Tabela131830373839[[#This Row],[File]]=Tabela131830373839[[#This Row],[File2]])</f>
        <v/>
      </c>
    </row>
    <row r="71" spans="4:15" ht="25.25" customHeight="1" x14ac:dyDescent="0.45">
      <c r="D71" s="75" t="s">
        <v>319</v>
      </c>
      <c r="E71" s="39"/>
      <c r="F71" s="41"/>
      <c r="G71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1" s="9" t="str">
        <f>IFERROR(_xlfn.TEXTAFTER(Tabela131830373839[[#This Row],[File Name]], "/", -1),"")</f>
        <v/>
      </c>
      <c r="I71" s="41"/>
      <c r="J71" s="41"/>
      <c r="K71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1" s="9" t="str">
        <f>IFERROR(_xlfn.TEXTAFTER(Tabela131830373839[[#This Row],[File Name2]], "/", -1),"")</f>
        <v/>
      </c>
      <c r="M71" s="41" t="str">
        <f>IF(Tabela131830373839[[#This Row],[Symmetry]]="","",Tabela131830373839[[#This Row],[Symmetry]]=Tabela131830373839[[#This Row],[Symmetry2]])</f>
        <v/>
      </c>
      <c r="N71" s="41" t="str">
        <f>IF(Tabela131830373839[[#This Row],[Database]]="","",Tabela131830373839[[#This Row],[Database]]=Tabela131830373839[[#This Row],[Database2]])</f>
        <v/>
      </c>
      <c r="O71" s="41" t="str">
        <f>IF(Tabela131830373839[[#This Row],[File]]="","",Tabela131830373839[[#This Row],[File]]=Tabela131830373839[[#This Row],[File2]])</f>
        <v/>
      </c>
    </row>
    <row r="72" spans="4:15" ht="25.25" customHeight="1" x14ac:dyDescent="0.45">
      <c r="D72" s="75" t="s">
        <v>320</v>
      </c>
      <c r="E72" s="39"/>
      <c r="F72" s="41"/>
      <c r="G72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2" s="9" t="str">
        <f>IFERROR(_xlfn.TEXTAFTER(Tabela131830373839[[#This Row],[File Name]], "/", -1),"")</f>
        <v/>
      </c>
      <c r="I72" s="41"/>
      <c r="J72" s="41"/>
      <c r="K72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2" s="9" t="str">
        <f>IFERROR(_xlfn.TEXTAFTER(Tabela131830373839[[#This Row],[File Name2]], "/", -1),"")</f>
        <v/>
      </c>
      <c r="M72" s="41" t="str">
        <f>IF(Tabela131830373839[[#This Row],[Symmetry]]="","",Tabela131830373839[[#This Row],[Symmetry]]=Tabela131830373839[[#This Row],[Symmetry2]])</f>
        <v/>
      </c>
      <c r="N72" s="41" t="str">
        <f>IF(Tabela131830373839[[#This Row],[Database]]="","",Tabela131830373839[[#This Row],[Database]]=Tabela131830373839[[#This Row],[Database2]])</f>
        <v/>
      </c>
      <c r="O72" s="41" t="str">
        <f>IF(Tabela131830373839[[#This Row],[File]]="","",Tabela131830373839[[#This Row],[File]]=Tabela131830373839[[#This Row],[File2]])</f>
        <v/>
      </c>
    </row>
    <row r="73" spans="4:15" ht="25.25" customHeight="1" x14ac:dyDescent="0.45">
      <c r="D73" s="75" t="s">
        <v>321</v>
      </c>
      <c r="E73" s="39"/>
      <c r="F73" s="41"/>
      <c r="G73" s="41" t="str">
        <f>IFERROR(_xlfn.LET(
    _xlpm.txt, TRIM(SUBSTITUTE(SUBSTITUTE(Tabela131830373839[[#This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3" s="9" t="str">
        <f>IFERROR(_xlfn.TEXTAFTER(Tabela131830373839[[#This Row],[File Name]], "/", -1),"")</f>
        <v/>
      </c>
      <c r="I73" s="41"/>
      <c r="J73" s="41"/>
      <c r="K73" s="41" t="str">
        <f>IFERROR(_xlfn.LET(
    _xlpm.txt, TRIM(SUBSTITUTE(SUBSTITUTE(Tabela131830373839[[#This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3" s="9" t="str">
        <f>IFERROR(_xlfn.TEXTAFTER(Tabela131830373839[[#This Row],[File Name2]], "/", -1),"")</f>
        <v/>
      </c>
      <c r="M73" s="41" t="str">
        <f>IF(Tabela131830373839[[#This Row],[Symmetry]]="","",Tabela131830373839[[#This Row],[Symmetry]]=Tabela131830373839[[#This Row],[Symmetry2]])</f>
        <v/>
      </c>
      <c r="N73" s="41" t="str">
        <f>IF(Tabela131830373839[[#This Row],[Database]]="","",Tabela131830373839[[#This Row],[Database]]=Tabela131830373839[[#This Row],[Database2]])</f>
        <v/>
      </c>
      <c r="O73" s="41" t="str">
        <f>IF(Tabela131830373839[[#This Row],[File]]="","",Tabela131830373839[[#This Row],[File]]=Tabela131830373839[[#This Row],[File2]])</f>
        <v/>
      </c>
    </row>
    <row r="74" spans="4:15" ht="22.9" thickBot="1" x14ac:dyDescent="0.5"/>
    <row r="75" spans="4:15" s="2" customFormat="1" ht="32" customHeight="1" thickBot="1" x14ac:dyDescent="0.5">
      <c r="D75" s="70" t="s">
        <v>388</v>
      </c>
      <c r="E75" s="7" t="s">
        <v>16</v>
      </c>
      <c r="F75" s="7" t="s">
        <v>263</v>
      </c>
      <c r="G75" s="7" t="s">
        <v>370</v>
      </c>
      <c r="H75" s="84" t="s">
        <v>371</v>
      </c>
      <c r="I75" s="3" t="s">
        <v>20</v>
      </c>
      <c r="J75" s="3" t="s">
        <v>368</v>
      </c>
      <c r="K75" s="3" t="s">
        <v>372</v>
      </c>
      <c r="L75" s="85" t="s">
        <v>375</v>
      </c>
      <c r="M75" s="4" t="s">
        <v>369</v>
      </c>
      <c r="N75" s="4" t="s">
        <v>374</v>
      </c>
      <c r="O75" s="4" t="s">
        <v>373</v>
      </c>
    </row>
    <row r="76" spans="4:15" ht="25.25" customHeight="1" x14ac:dyDescent="0.45">
      <c r="D76" s="71" t="s">
        <v>322</v>
      </c>
      <c r="E76" s="39"/>
      <c r="F76" s="41"/>
      <c r="G76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6" s="9" t="str">
        <f>IFERROR(_xlfn.TEXTAFTER(Tabela13183037383940[[#This Row],[File Name]], "/", -1),"")</f>
        <v/>
      </c>
      <c r="I76" s="41"/>
      <c r="J76" s="41"/>
      <c r="K76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6" s="9" t="str">
        <f>IFERROR(_xlfn.TEXTAFTER(Tabela13183037383940[[#This Row],[File Name2]], "/", -1),"")</f>
        <v/>
      </c>
      <c r="M76" s="41" t="str">
        <f>IF(Tabela13183037383940[[#This Row],[Symmetry]]="","",Tabela13183037383940[[#This Row],[Symmetry]]=Tabela13183037383940[[#This Row],[Symmetry2]])</f>
        <v/>
      </c>
      <c r="N76" s="41" t="str">
        <f>IF(Tabela13183037383940[[#This Row],[Database]]="","",Tabela13183037383940[[#This Row],[Database]]=Tabela13183037383940[[#This Row],[Database2]])</f>
        <v/>
      </c>
      <c r="O76" s="41" t="str">
        <f>IF(Tabela13183037383940[[#This Row],[File]]="","",Tabela13183037383940[[#This Row],[File]]=Tabela13183037383940[[#This Row],[File2]])</f>
        <v/>
      </c>
    </row>
    <row r="77" spans="4:15" ht="25.25" customHeight="1" x14ac:dyDescent="0.45">
      <c r="D77" s="73" t="s">
        <v>323</v>
      </c>
      <c r="E77" s="39"/>
      <c r="F77" s="41"/>
      <c r="G77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7" s="9" t="str">
        <f>IFERROR(_xlfn.TEXTAFTER(Tabela13183037383940[[#This Row],[File Name]], "/", -1),"")</f>
        <v/>
      </c>
      <c r="I77" s="41"/>
      <c r="J77" s="41"/>
      <c r="K77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7" s="9" t="str">
        <f>IFERROR(_xlfn.TEXTAFTER(Tabela13183037383940[[#This Row],[File Name2]], "/", -1),"")</f>
        <v/>
      </c>
      <c r="M77" s="41" t="str">
        <f>IF(Tabela13183037383940[[#This Row],[Symmetry]]="","",Tabela13183037383940[[#This Row],[Symmetry]]=Tabela13183037383940[[#This Row],[Symmetry2]])</f>
        <v/>
      </c>
      <c r="N77" s="41" t="str">
        <f>IF(Tabela13183037383940[[#This Row],[Database]]="","",Tabela13183037383940[[#This Row],[Database]]=Tabela13183037383940[[#This Row],[Database2]])</f>
        <v/>
      </c>
      <c r="O77" s="41" t="str">
        <f>IF(Tabela13183037383940[[#This Row],[File]]="","",Tabela13183037383940[[#This Row],[File]]=Tabela13183037383940[[#This Row],[File2]])</f>
        <v/>
      </c>
    </row>
    <row r="78" spans="4:15" ht="25.25" customHeight="1" x14ac:dyDescent="0.45">
      <c r="D78" s="75" t="s">
        <v>324</v>
      </c>
      <c r="E78" s="39"/>
      <c r="F78" s="41"/>
      <c r="G78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8" s="9" t="str">
        <f>IFERROR(_xlfn.TEXTAFTER(Tabela13183037383940[[#This Row],[File Name]], "/", -1),"")</f>
        <v/>
      </c>
      <c r="I78" s="41"/>
      <c r="J78" s="41"/>
      <c r="K78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8" s="9" t="str">
        <f>IFERROR(_xlfn.TEXTAFTER(Tabela13183037383940[[#This Row],[File Name2]], "/", -1),"")</f>
        <v/>
      </c>
      <c r="M78" s="41" t="str">
        <f>IF(Tabela13183037383940[[#This Row],[Symmetry]]="","",Tabela13183037383940[[#This Row],[Symmetry]]=Tabela13183037383940[[#This Row],[Symmetry2]])</f>
        <v/>
      </c>
      <c r="N78" s="41" t="str">
        <f>IF(Tabela13183037383940[[#This Row],[Database]]="","",Tabela13183037383940[[#This Row],[Database]]=Tabela13183037383940[[#This Row],[Database2]])</f>
        <v/>
      </c>
      <c r="O78" s="41" t="str">
        <f>IF(Tabela13183037383940[[#This Row],[File]]="","",Tabela13183037383940[[#This Row],[File]]=Tabela13183037383940[[#This Row],[File2]])</f>
        <v/>
      </c>
    </row>
    <row r="79" spans="4:15" ht="25.25" customHeight="1" x14ac:dyDescent="0.45">
      <c r="D79" s="75" t="s">
        <v>325</v>
      </c>
      <c r="E79" s="39"/>
      <c r="F79" s="41"/>
      <c r="G79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79" s="9" t="str">
        <f>IFERROR(_xlfn.TEXTAFTER(Tabela13183037383940[[#This Row],[File Name]], "/", -1),"")</f>
        <v/>
      </c>
      <c r="I79" s="41"/>
      <c r="J79" s="41"/>
      <c r="K79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79" s="9" t="str">
        <f>IFERROR(_xlfn.TEXTAFTER(Tabela13183037383940[[#This Row],[File Name2]], "/", -1),"")</f>
        <v/>
      </c>
      <c r="M79" s="41" t="str">
        <f>IF(Tabela13183037383940[[#This Row],[Symmetry]]="","",Tabela13183037383940[[#This Row],[Symmetry]]=Tabela13183037383940[[#This Row],[Symmetry2]])</f>
        <v/>
      </c>
      <c r="N79" s="41" t="str">
        <f>IF(Tabela13183037383940[[#This Row],[Database]]="","",Tabela13183037383940[[#This Row],[Database]]=Tabela13183037383940[[#This Row],[Database2]])</f>
        <v/>
      </c>
      <c r="O79" s="41" t="str">
        <f>IF(Tabela13183037383940[[#This Row],[File]]="","",Tabela13183037383940[[#This Row],[File]]=Tabela13183037383940[[#This Row],[File2]])</f>
        <v/>
      </c>
    </row>
    <row r="80" spans="4:15" ht="25.25" customHeight="1" x14ac:dyDescent="0.45">
      <c r="D80" s="75" t="s">
        <v>326</v>
      </c>
      <c r="E80" s="39"/>
      <c r="F80" s="41"/>
      <c r="G80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0" s="9" t="str">
        <f>IFERROR(_xlfn.TEXTAFTER(Tabela13183037383940[[#This Row],[File Name]], "/", -1),"")</f>
        <v/>
      </c>
      <c r="I80" s="41"/>
      <c r="J80" s="41"/>
      <c r="K80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0" s="9" t="str">
        <f>IFERROR(_xlfn.TEXTAFTER(Tabela13183037383940[[#This Row],[File Name2]], "/", -1),"")</f>
        <v/>
      </c>
      <c r="M80" s="41" t="str">
        <f>IF(Tabela13183037383940[[#This Row],[Symmetry]]="","",Tabela13183037383940[[#This Row],[Symmetry]]=Tabela13183037383940[[#This Row],[Symmetry2]])</f>
        <v/>
      </c>
      <c r="N80" s="41" t="str">
        <f>IF(Tabela13183037383940[[#This Row],[Database]]="","",Tabela13183037383940[[#This Row],[Database]]=Tabela13183037383940[[#This Row],[Database2]])</f>
        <v/>
      </c>
      <c r="O80" s="41" t="str">
        <f>IF(Tabela13183037383940[[#This Row],[File]]="","",Tabela13183037383940[[#This Row],[File]]=Tabela13183037383940[[#This Row],[File2]])</f>
        <v/>
      </c>
    </row>
    <row r="81" spans="4:15" ht="25.25" customHeight="1" x14ac:dyDescent="0.45">
      <c r="D81" s="75" t="s">
        <v>327</v>
      </c>
      <c r="E81" s="39"/>
      <c r="F81" s="41"/>
      <c r="G81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1" s="9" t="str">
        <f>IFERROR(_xlfn.TEXTAFTER(Tabela13183037383940[[#This Row],[File Name]], "/", -1),"")</f>
        <v/>
      </c>
      <c r="I81" s="41"/>
      <c r="J81" s="41"/>
      <c r="K81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1" s="9" t="str">
        <f>IFERROR(_xlfn.TEXTAFTER(Tabela13183037383940[[#This Row],[File Name2]], "/", -1),"")</f>
        <v/>
      </c>
      <c r="M81" s="41" t="str">
        <f>IF(Tabela13183037383940[[#This Row],[Symmetry]]="","",Tabela13183037383940[[#This Row],[Symmetry]]=Tabela13183037383940[[#This Row],[Symmetry2]])</f>
        <v/>
      </c>
      <c r="N81" s="41" t="str">
        <f>IF(Tabela13183037383940[[#This Row],[Database]]="","",Tabela13183037383940[[#This Row],[Database]]=Tabela13183037383940[[#This Row],[Database2]])</f>
        <v/>
      </c>
      <c r="O81" s="41" t="str">
        <f>IF(Tabela13183037383940[[#This Row],[File]]="","",Tabela13183037383940[[#This Row],[File]]=Tabela13183037383940[[#This Row],[File2]])</f>
        <v/>
      </c>
    </row>
    <row r="82" spans="4:15" ht="25.25" customHeight="1" x14ac:dyDescent="0.45">
      <c r="D82" s="75" t="s">
        <v>328</v>
      </c>
      <c r="E82" s="39"/>
      <c r="F82" s="41"/>
      <c r="G82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2" s="9" t="str">
        <f>IFERROR(_xlfn.TEXTAFTER(Tabela13183037383940[[#This Row],[File Name]], "/", -1),"")</f>
        <v/>
      </c>
      <c r="I82" s="41"/>
      <c r="J82" s="41"/>
      <c r="K82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2" s="9" t="str">
        <f>IFERROR(_xlfn.TEXTAFTER(Tabela13183037383940[[#This Row],[File Name2]], "/", -1),"")</f>
        <v/>
      </c>
      <c r="M82" s="41" t="str">
        <f>IF(Tabela13183037383940[[#This Row],[Symmetry]]="","",Tabela13183037383940[[#This Row],[Symmetry]]=Tabela13183037383940[[#This Row],[Symmetry2]])</f>
        <v/>
      </c>
      <c r="N82" s="41" t="str">
        <f>IF(Tabela13183037383940[[#This Row],[Database]]="","",Tabela13183037383940[[#This Row],[Database]]=Tabela13183037383940[[#This Row],[Database2]])</f>
        <v/>
      </c>
      <c r="O82" s="41" t="str">
        <f>IF(Tabela13183037383940[[#This Row],[File]]="","",Tabela13183037383940[[#This Row],[File]]=Tabela13183037383940[[#This Row],[File2]])</f>
        <v/>
      </c>
    </row>
    <row r="83" spans="4:15" ht="25.25" customHeight="1" x14ac:dyDescent="0.45">
      <c r="D83" s="75" t="s">
        <v>329</v>
      </c>
      <c r="E83" s="39"/>
      <c r="F83" s="41"/>
      <c r="G83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3" s="9" t="str">
        <f>IFERROR(_xlfn.TEXTAFTER(Tabela13183037383940[[#This Row],[File Name]], "/", -1),"")</f>
        <v/>
      </c>
      <c r="I83" s="41"/>
      <c r="J83" s="41"/>
      <c r="K83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3" s="9" t="str">
        <f>IFERROR(_xlfn.TEXTAFTER(Tabela13183037383940[[#This Row],[File Name2]], "/", -1),"")</f>
        <v/>
      </c>
      <c r="M83" s="41" t="str">
        <f>IF(Tabela13183037383940[[#This Row],[Symmetry]]="","",Tabela13183037383940[[#This Row],[Symmetry]]=Tabela13183037383940[[#This Row],[Symmetry2]])</f>
        <v/>
      </c>
      <c r="N83" s="41" t="str">
        <f>IF(Tabela13183037383940[[#This Row],[Database]]="","",Tabela13183037383940[[#This Row],[Database]]=Tabela13183037383940[[#This Row],[Database2]])</f>
        <v/>
      </c>
      <c r="O83" s="41" t="str">
        <f>IF(Tabela13183037383940[[#This Row],[File]]="","",Tabela13183037383940[[#This Row],[File]]=Tabela13183037383940[[#This Row],[File2]])</f>
        <v/>
      </c>
    </row>
    <row r="84" spans="4:15" ht="25.25" customHeight="1" x14ac:dyDescent="0.45">
      <c r="D84" s="75" t="s">
        <v>330</v>
      </c>
      <c r="E84" s="39"/>
      <c r="F84" s="41"/>
      <c r="G84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4" s="9" t="str">
        <f>IFERROR(_xlfn.TEXTAFTER(Tabela13183037383940[[#This Row],[File Name]], "/", -1),"")</f>
        <v/>
      </c>
      <c r="I84" s="41"/>
      <c r="J84" s="41"/>
      <c r="K84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4" s="9" t="str">
        <f>IFERROR(_xlfn.TEXTAFTER(Tabela13183037383940[[#This Row],[File Name2]], "/", -1),"")</f>
        <v/>
      </c>
      <c r="M84" s="41" t="str">
        <f>IF(Tabela13183037383940[[#This Row],[Symmetry]]="","",Tabela13183037383940[[#This Row],[Symmetry]]=Tabela13183037383940[[#This Row],[Symmetry2]])</f>
        <v/>
      </c>
      <c r="N84" s="41" t="str">
        <f>IF(Tabela13183037383940[[#This Row],[Database]]="","",Tabela13183037383940[[#This Row],[Database]]=Tabela13183037383940[[#This Row],[Database2]])</f>
        <v/>
      </c>
      <c r="O84" s="41" t="str">
        <f>IF(Tabela13183037383940[[#This Row],[File]]="","",Tabela13183037383940[[#This Row],[File]]=Tabela13183037383940[[#This Row],[File2]])</f>
        <v/>
      </c>
    </row>
    <row r="85" spans="4:15" ht="25.25" customHeight="1" x14ac:dyDescent="0.45">
      <c r="D85" s="75" t="s">
        <v>331</v>
      </c>
      <c r="E85" s="39"/>
      <c r="F85" s="41"/>
      <c r="G85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5" s="9" t="str">
        <f>IFERROR(_xlfn.TEXTAFTER(Tabela13183037383940[[#This Row],[File Name]], "/", -1),"")</f>
        <v/>
      </c>
      <c r="I85" s="41"/>
      <c r="J85" s="41"/>
      <c r="K85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5" s="9" t="str">
        <f>IFERROR(_xlfn.TEXTAFTER(Tabela13183037383940[[#This Row],[File Name2]], "/", -1),"")</f>
        <v/>
      </c>
      <c r="M85" s="41" t="str">
        <f>IF(Tabela13183037383940[[#This Row],[Symmetry]]="","",Tabela13183037383940[[#This Row],[Symmetry]]=Tabela13183037383940[[#This Row],[Symmetry2]])</f>
        <v/>
      </c>
      <c r="N85" s="41" t="str">
        <f>IF(Tabela13183037383940[[#This Row],[Database]]="","",Tabela13183037383940[[#This Row],[Database]]=Tabela13183037383940[[#This Row],[Database2]])</f>
        <v/>
      </c>
      <c r="O85" s="41" t="str">
        <f>IF(Tabela13183037383940[[#This Row],[File]]="","",Tabela13183037383940[[#This Row],[File]]=Tabela13183037383940[[#This Row],[File2]])</f>
        <v/>
      </c>
    </row>
    <row r="86" spans="4:15" ht="25.25" customHeight="1" x14ac:dyDescent="0.45">
      <c r="D86" s="75" t="s">
        <v>332</v>
      </c>
      <c r="E86" s="39"/>
      <c r="F86" s="41"/>
      <c r="G86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6" s="9" t="str">
        <f>IFERROR(_xlfn.TEXTAFTER(Tabela13183037383940[[#This Row],[File Name]], "/", -1),"")</f>
        <v/>
      </c>
      <c r="I86" s="41"/>
      <c r="J86" s="41"/>
      <c r="K86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6" s="9" t="str">
        <f>IFERROR(_xlfn.TEXTAFTER(Tabela13183037383940[[#This Row],[File Name2]], "/", -1),"")</f>
        <v/>
      </c>
      <c r="M86" s="41" t="str">
        <f>IF(Tabela13183037383940[[#This Row],[Symmetry]]="","",Tabela13183037383940[[#This Row],[Symmetry]]=Tabela13183037383940[[#This Row],[Symmetry2]])</f>
        <v/>
      </c>
      <c r="N86" s="41" t="str">
        <f>IF(Tabela13183037383940[[#This Row],[Database]]="","",Tabela13183037383940[[#This Row],[Database]]=Tabela13183037383940[[#This Row],[Database2]])</f>
        <v/>
      </c>
      <c r="O86" s="41" t="str">
        <f>IF(Tabela13183037383940[[#This Row],[File]]="","",Tabela13183037383940[[#This Row],[File]]=Tabela13183037383940[[#This Row],[File2]])</f>
        <v/>
      </c>
    </row>
    <row r="87" spans="4:15" ht="25.25" customHeight="1" x14ac:dyDescent="0.45">
      <c r="D87" s="51" t="s">
        <v>333</v>
      </c>
      <c r="E87" s="39"/>
      <c r="F87" s="41"/>
      <c r="G87" s="41" t="str">
        <f>IFERROR(_xlfn.LET(
    _xlpm.txt, TRIM(SUBSTITUTE(SUBSTITUTE(Tabela13183037383940[[#This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87" s="9" t="str">
        <f>IFERROR(_xlfn.TEXTAFTER(Tabela13183037383940[[#This Row],[File Name]], "/", -1),"")</f>
        <v/>
      </c>
      <c r="I87" s="41"/>
      <c r="J87" s="41"/>
      <c r="K87" s="41" t="str">
        <f>IFERROR(_xlfn.LET(
    _xlpm.txt, TRIM(SUBSTITUTE(SUBSTITUTE(Tabela13183037383940[[#This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87" s="9" t="str">
        <f>IFERROR(_xlfn.TEXTAFTER(Tabela13183037383940[[#This Row],[File Name2]], "/", -1),"")</f>
        <v/>
      </c>
      <c r="M87" s="41" t="str">
        <f>IF(Tabela13183037383940[[#This Row],[Symmetry]]="","",Tabela13183037383940[[#This Row],[Symmetry]]=Tabela13183037383940[[#This Row],[Symmetry2]])</f>
        <v/>
      </c>
      <c r="N87" s="41" t="str">
        <f>IF(Tabela13183037383940[[#This Row],[Database]]="","",Tabela13183037383940[[#This Row],[Database]]=Tabela13183037383940[[#This Row],[Database2]])</f>
        <v/>
      </c>
      <c r="O87" s="41" t="str">
        <f>IF(Tabela13183037383940[[#This Row],[File]]="","",Tabela13183037383940[[#This Row],[File]]=Tabela13183037383940[[#This Row],[File2]])</f>
        <v/>
      </c>
    </row>
    <row r="88" spans="4:15" ht="22.9" thickBot="1" x14ac:dyDescent="0.5"/>
    <row r="89" spans="4:15" s="2" customFormat="1" ht="32" customHeight="1" thickBot="1" x14ac:dyDescent="0.5">
      <c r="D89" s="70" t="s">
        <v>389</v>
      </c>
      <c r="E89" s="7" t="s">
        <v>16</v>
      </c>
      <c r="F89" s="7" t="s">
        <v>263</v>
      </c>
      <c r="G89" s="7" t="s">
        <v>370</v>
      </c>
      <c r="H89" s="84" t="s">
        <v>371</v>
      </c>
      <c r="I89" s="3" t="s">
        <v>20</v>
      </c>
      <c r="J89" s="3" t="s">
        <v>368</v>
      </c>
      <c r="K89" s="3" t="s">
        <v>372</v>
      </c>
      <c r="L89" s="85" t="s">
        <v>375</v>
      </c>
      <c r="M89" s="4" t="s">
        <v>369</v>
      </c>
      <c r="N89" s="4" t="s">
        <v>374</v>
      </c>
      <c r="O89" s="4" t="s">
        <v>373</v>
      </c>
    </row>
    <row r="90" spans="4:15" ht="25.25" customHeight="1" x14ac:dyDescent="0.45">
      <c r="D90" s="71" t="s">
        <v>334</v>
      </c>
      <c r="E90" s="39"/>
      <c r="F90" s="41"/>
      <c r="G90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0" s="9" t="str">
        <f>IFERROR(_xlfn.TEXTAFTER(Tabela1318303738394041[[#This Row],[File Name]], "/", -1),"")</f>
        <v/>
      </c>
      <c r="I90" s="41"/>
      <c r="J90" s="41"/>
      <c r="K90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0" s="9" t="str">
        <f>IFERROR(_xlfn.TEXTAFTER(Tabela1318303738394041[[#This Row],[File Name2]], "/", -1),"")</f>
        <v/>
      </c>
      <c r="M90" s="41" t="str">
        <f>IF(Tabela1318303738394041[[#This Row],[Symmetry]]="","",Tabela1318303738394041[[#This Row],[Symmetry]]=Tabela1318303738394041[[#This Row],[Symmetry2]])</f>
        <v/>
      </c>
      <c r="N90" s="41" t="str">
        <f>IF(Tabela1318303738394041[[#This Row],[Database]]="","",Tabela1318303738394041[[#This Row],[Database]]=Tabela1318303738394041[[#This Row],[Database2]])</f>
        <v/>
      </c>
      <c r="O90" s="41" t="str">
        <f>IF(Tabela1318303738394041[[#This Row],[File]]="","",Tabela1318303738394041[[#This Row],[File]]=Tabela1318303738394041[[#This Row],[File2]])</f>
        <v/>
      </c>
    </row>
    <row r="91" spans="4:15" ht="25.25" customHeight="1" x14ac:dyDescent="0.45">
      <c r="D91" s="73" t="s">
        <v>335</v>
      </c>
      <c r="E91" s="39"/>
      <c r="F91" s="41"/>
      <c r="G91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1" s="9" t="str">
        <f>IFERROR(_xlfn.TEXTAFTER(Tabela1318303738394041[[#This Row],[File Name]], "/", -1),"")</f>
        <v/>
      </c>
      <c r="I91" s="41"/>
      <c r="J91" s="41"/>
      <c r="K91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1" s="9" t="str">
        <f>IFERROR(_xlfn.TEXTAFTER(Tabela1318303738394041[[#This Row],[File Name2]], "/", -1),"")</f>
        <v/>
      </c>
      <c r="M91" s="41" t="str">
        <f>IF(Tabela1318303738394041[[#This Row],[Symmetry]]="","",Tabela1318303738394041[[#This Row],[Symmetry]]=Tabela1318303738394041[[#This Row],[Symmetry2]])</f>
        <v/>
      </c>
      <c r="N91" s="41" t="str">
        <f>IF(Tabela1318303738394041[[#This Row],[Database]]="","",Tabela1318303738394041[[#This Row],[Database]]=Tabela1318303738394041[[#This Row],[Database2]])</f>
        <v/>
      </c>
      <c r="O91" s="41" t="str">
        <f>IF(Tabela1318303738394041[[#This Row],[File]]="","",Tabela1318303738394041[[#This Row],[File]]=Tabela1318303738394041[[#This Row],[File2]])</f>
        <v/>
      </c>
    </row>
    <row r="92" spans="4:15" ht="25.25" customHeight="1" x14ac:dyDescent="0.45">
      <c r="D92" s="75" t="s">
        <v>336</v>
      </c>
      <c r="E92" s="39"/>
      <c r="F92" s="41"/>
      <c r="G92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2" s="9" t="str">
        <f>IFERROR(_xlfn.TEXTAFTER(Tabela1318303738394041[[#This Row],[File Name]], "/", -1),"")</f>
        <v/>
      </c>
      <c r="I92" s="41"/>
      <c r="J92" s="41"/>
      <c r="K92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2" s="9" t="str">
        <f>IFERROR(_xlfn.TEXTAFTER(Tabela1318303738394041[[#This Row],[File Name2]], "/", -1),"")</f>
        <v/>
      </c>
      <c r="M92" s="41" t="str">
        <f>IF(Tabela1318303738394041[[#This Row],[Symmetry]]="","",Tabela1318303738394041[[#This Row],[Symmetry]]=Tabela1318303738394041[[#This Row],[Symmetry2]])</f>
        <v/>
      </c>
      <c r="N92" s="41" t="str">
        <f>IF(Tabela1318303738394041[[#This Row],[Database]]="","",Tabela1318303738394041[[#This Row],[Database]]=Tabela1318303738394041[[#This Row],[Database2]])</f>
        <v/>
      </c>
      <c r="O92" s="41" t="str">
        <f>IF(Tabela1318303738394041[[#This Row],[File]]="","",Tabela1318303738394041[[#This Row],[File]]=Tabela1318303738394041[[#This Row],[File2]])</f>
        <v/>
      </c>
    </row>
    <row r="93" spans="4:15" ht="25.25" customHeight="1" x14ac:dyDescent="0.45">
      <c r="D93" s="75" t="s">
        <v>337</v>
      </c>
      <c r="E93" s="39"/>
      <c r="F93" s="41"/>
      <c r="G93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3" s="9" t="str">
        <f>IFERROR(_xlfn.TEXTAFTER(Tabela1318303738394041[[#This Row],[File Name]], "/", -1),"")</f>
        <v/>
      </c>
      <c r="I93" s="41"/>
      <c r="J93" s="41"/>
      <c r="K93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3" s="9" t="str">
        <f>IFERROR(_xlfn.TEXTAFTER(Tabela1318303738394041[[#This Row],[File Name2]], "/", -1),"")</f>
        <v/>
      </c>
      <c r="M93" s="41" t="str">
        <f>IF(Tabela1318303738394041[[#This Row],[Symmetry]]="","",Tabela1318303738394041[[#This Row],[Symmetry]]=Tabela1318303738394041[[#This Row],[Symmetry2]])</f>
        <v/>
      </c>
      <c r="N93" s="41" t="str">
        <f>IF(Tabela1318303738394041[[#This Row],[Database]]="","",Tabela1318303738394041[[#This Row],[Database]]=Tabela1318303738394041[[#This Row],[Database2]])</f>
        <v/>
      </c>
      <c r="O93" s="41" t="str">
        <f>IF(Tabela1318303738394041[[#This Row],[File]]="","",Tabela1318303738394041[[#This Row],[File]]=Tabela1318303738394041[[#This Row],[File2]])</f>
        <v/>
      </c>
    </row>
    <row r="94" spans="4:15" ht="25.25" customHeight="1" x14ac:dyDescent="0.45">
      <c r="D94" s="75" t="s">
        <v>338</v>
      </c>
      <c r="E94" s="39"/>
      <c r="F94" s="41"/>
      <c r="G94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4" s="9" t="str">
        <f>IFERROR(_xlfn.TEXTAFTER(Tabela1318303738394041[[#This Row],[File Name]], "/", -1),"")</f>
        <v/>
      </c>
      <c r="I94" s="41"/>
      <c r="J94" s="41"/>
      <c r="K94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4" s="9" t="str">
        <f>IFERROR(_xlfn.TEXTAFTER(Tabela1318303738394041[[#This Row],[File Name2]], "/", -1),"")</f>
        <v/>
      </c>
      <c r="M94" s="41" t="str">
        <f>IF(Tabela1318303738394041[[#This Row],[Symmetry]]="","",Tabela1318303738394041[[#This Row],[Symmetry]]=Tabela1318303738394041[[#This Row],[Symmetry2]])</f>
        <v/>
      </c>
      <c r="N94" s="41" t="str">
        <f>IF(Tabela1318303738394041[[#This Row],[Database]]="","",Tabela1318303738394041[[#This Row],[Database]]=Tabela1318303738394041[[#This Row],[Database2]])</f>
        <v/>
      </c>
      <c r="O94" s="41" t="str">
        <f>IF(Tabela1318303738394041[[#This Row],[File]]="","",Tabela1318303738394041[[#This Row],[File]]=Tabela1318303738394041[[#This Row],[File2]])</f>
        <v/>
      </c>
    </row>
    <row r="95" spans="4:15" ht="25.25" customHeight="1" x14ac:dyDescent="0.45">
      <c r="D95" s="75" t="s">
        <v>339</v>
      </c>
      <c r="E95" s="39"/>
      <c r="F95" s="41"/>
      <c r="G95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5" s="9" t="str">
        <f>IFERROR(_xlfn.TEXTAFTER(Tabela1318303738394041[[#This Row],[File Name]], "/", -1),"")</f>
        <v/>
      </c>
      <c r="I95" s="41"/>
      <c r="J95" s="41"/>
      <c r="K95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5" s="9" t="str">
        <f>IFERROR(_xlfn.TEXTAFTER(Tabela1318303738394041[[#This Row],[File Name2]], "/", -1),"")</f>
        <v/>
      </c>
      <c r="M95" s="41" t="str">
        <f>IF(Tabela1318303738394041[[#This Row],[Symmetry]]="","",Tabela1318303738394041[[#This Row],[Symmetry]]=Tabela1318303738394041[[#This Row],[Symmetry2]])</f>
        <v/>
      </c>
      <c r="N95" s="41" t="str">
        <f>IF(Tabela1318303738394041[[#This Row],[Database]]="","",Tabela1318303738394041[[#This Row],[Database]]=Tabela1318303738394041[[#This Row],[Database2]])</f>
        <v/>
      </c>
      <c r="O95" s="41" t="str">
        <f>IF(Tabela1318303738394041[[#This Row],[File]]="","",Tabela1318303738394041[[#This Row],[File]]=Tabela1318303738394041[[#This Row],[File2]])</f>
        <v/>
      </c>
    </row>
    <row r="96" spans="4:15" ht="25.25" customHeight="1" x14ac:dyDescent="0.45">
      <c r="D96" s="75" t="s">
        <v>340</v>
      </c>
      <c r="E96" s="39"/>
      <c r="F96" s="41"/>
      <c r="G96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6" s="9" t="str">
        <f>IFERROR(_xlfn.TEXTAFTER(Tabela1318303738394041[[#This Row],[File Name]], "/", -1),"")</f>
        <v/>
      </c>
      <c r="I96" s="41"/>
      <c r="J96" s="41"/>
      <c r="K96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6" s="9" t="str">
        <f>IFERROR(_xlfn.TEXTAFTER(Tabela1318303738394041[[#This Row],[File Name2]], "/", -1),"")</f>
        <v/>
      </c>
      <c r="M96" s="41" t="str">
        <f>IF(Tabela1318303738394041[[#This Row],[Symmetry]]="","",Tabela1318303738394041[[#This Row],[Symmetry]]=Tabela1318303738394041[[#This Row],[Symmetry2]])</f>
        <v/>
      </c>
      <c r="N96" s="41" t="str">
        <f>IF(Tabela1318303738394041[[#This Row],[Database]]="","",Tabela1318303738394041[[#This Row],[Database]]=Tabela1318303738394041[[#This Row],[Database2]])</f>
        <v/>
      </c>
      <c r="O96" s="41" t="str">
        <f>IF(Tabela1318303738394041[[#This Row],[File]]="","",Tabela1318303738394041[[#This Row],[File]]=Tabela1318303738394041[[#This Row],[File2]])</f>
        <v/>
      </c>
    </row>
    <row r="97" spans="4:15" ht="25.25" customHeight="1" x14ac:dyDescent="0.45">
      <c r="D97" s="75" t="s">
        <v>341</v>
      </c>
      <c r="E97" s="39"/>
      <c r="F97" s="41"/>
      <c r="G97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7" s="9" t="str">
        <f>IFERROR(_xlfn.TEXTAFTER(Tabela1318303738394041[[#This Row],[File Name]], "/", -1),"")</f>
        <v/>
      </c>
      <c r="I97" s="41"/>
      <c r="J97" s="41"/>
      <c r="K97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7" s="9" t="str">
        <f>IFERROR(_xlfn.TEXTAFTER(Tabela1318303738394041[[#This Row],[File Name2]], "/", -1),"")</f>
        <v/>
      </c>
      <c r="M97" s="41" t="str">
        <f>IF(Tabela1318303738394041[[#This Row],[Symmetry]]="","",Tabela1318303738394041[[#This Row],[Symmetry]]=Tabela1318303738394041[[#This Row],[Symmetry2]])</f>
        <v/>
      </c>
      <c r="N97" s="41" t="str">
        <f>IF(Tabela1318303738394041[[#This Row],[Database]]="","",Tabela1318303738394041[[#This Row],[Database]]=Tabela1318303738394041[[#This Row],[Database2]])</f>
        <v/>
      </c>
      <c r="O97" s="41" t="str">
        <f>IF(Tabela1318303738394041[[#This Row],[File]]="","",Tabela1318303738394041[[#This Row],[File]]=Tabela1318303738394041[[#This Row],[File2]])</f>
        <v/>
      </c>
    </row>
    <row r="98" spans="4:15" ht="25.25" customHeight="1" x14ac:dyDescent="0.45">
      <c r="D98" s="75" t="s">
        <v>342</v>
      </c>
      <c r="E98" s="39"/>
      <c r="F98" s="41"/>
      <c r="G98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8" s="9" t="str">
        <f>IFERROR(_xlfn.TEXTAFTER(Tabela1318303738394041[[#This Row],[File Name]], "/", -1),"")</f>
        <v/>
      </c>
      <c r="I98" s="41"/>
      <c r="J98" s="41"/>
      <c r="K98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8" s="9" t="str">
        <f>IFERROR(_xlfn.TEXTAFTER(Tabela1318303738394041[[#This Row],[File Name2]], "/", -1),"")</f>
        <v/>
      </c>
      <c r="M98" s="41" t="str">
        <f>IF(Tabela1318303738394041[[#This Row],[Symmetry]]="","",Tabela1318303738394041[[#This Row],[Symmetry]]=Tabela1318303738394041[[#This Row],[Symmetry2]])</f>
        <v/>
      </c>
      <c r="N98" s="41" t="str">
        <f>IF(Tabela1318303738394041[[#This Row],[Database]]="","",Tabela1318303738394041[[#This Row],[Database]]=Tabela1318303738394041[[#This Row],[Database2]])</f>
        <v/>
      </c>
      <c r="O98" s="41" t="str">
        <f>IF(Tabela1318303738394041[[#This Row],[File]]="","",Tabela1318303738394041[[#This Row],[File]]=Tabela1318303738394041[[#This Row],[File2]])</f>
        <v/>
      </c>
    </row>
    <row r="99" spans="4:15" ht="25.25" customHeight="1" x14ac:dyDescent="0.45">
      <c r="D99" s="75" t="s">
        <v>343</v>
      </c>
      <c r="E99" s="39"/>
      <c r="F99" s="41"/>
      <c r="G99" s="41" t="str">
        <f>IFERROR(_xlfn.LET(
    _xlpm.txt, TRIM(SUBSTITUTE(SUBSTITUTE(Tabela1318303738394041[[#This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99" s="9" t="str">
        <f>IFERROR(_xlfn.TEXTAFTER(Tabela1318303738394041[[#This Row],[File Name]], "/", -1),"")</f>
        <v/>
      </c>
      <c r="I99" s="41"/>
      <c r="J99" s="41"/>
      <c r="K99" s="41" t="str">
        <f>IFERROR(_xlfn.LET(
    _xlpm.txt, TRIM(SUBSTITUTE(SUBSTITUTE(Tabela1318303738394041[[#This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99" s="9" t="str">
        <f>IFERROR(_xlfn.TEXTAFTER(Tabela1318303738394041[[#This Row],[File Name2]], "/", -1),"")</f>
        <v/>
      </c>
      <c r="M99" s="41" t="str">
        <f>IF(Tabela1318303738394041[[#This Row],[Symmetry]]="","",Tabela1318303738394041[[#This Row],[Symmetry]]=Tabela1318303738394041[[#This Row],[Symmetry2]])</f>
        <v/>
      </c>
      <c r="N99" s="41" t="str">
        <f>IF(Tabela1318303738394041[[#This Row],[Database]]="","",Tabela1318303738394041[[#This Row],[Database]]=Tabela1318303738394041[[#This Row],[Database2]])</f>
        <v/>
      </c>
      <c r="O99" s="41" t="str">
        <f>IF(Tabela1318303738394041[[#This Row],[File]]="","",Tabela1318303738394041[[#This Row],[File]]=Tabela1318303738394041[[#This Row],[File2]])</f>
        <v/>
      </c>
    </row>
    <row r="100" spans="4:15" ht="22.9" thickBot="1" x14ac:dyDescent="0.5"/>
    <row r="101" spans="4:15" s="2" customFormat="1" ht="32" customHeight="1" thickBot="1" x14ac:dyDescent="0.5">
      <c r="D101" s="70" t="s">
        <v>390</v>
      </c>
      <c r="E101" s="7" t="s">
        <v>16</v>
      </c>
      <c r="F101" s="7" t="s">
        <v>263</v>
      </c>
      <c r="G101" s="7" t="s">
        <v>370</v>
      </c>
      <c r="H101" s="84" t="s">
        <v>371</v>
      </c>
      <c r="I101" s="3" t="s">
        <v>20</v>
      </c>
      <c r="J101" s="3" t="s">
        <v>368</v>
      </c>
      <c r="K101" s="3" t="s">
        <v>372</v>
      </c>
      <c r="L101" s="85" t="s">
        <v>375</v>
      </c>
      <c r="M101" s="4" t="s">
        <v>369</v>
      </c>
      <c r="N101" s="4" t="s">
        <v>374</v>
      </c>
      <c r="O101" s="4" t="s">
        <v>373</v>
      </c>
    </row>
    <row r="102" spans="4:15" ht="25.25" customHeight="1" x14ac:dyDescent="0.45">
      <c r="D102" s="71" t="s">
        <v>344</v>
      </c>
      <c r="E102" s="39"/>
      <c r="F102" s="41"/>
      <c r="G102" s="41" t="str">
        <f>IFERROR(_xlfn.LET(
    _xlpm.txt, TRIM(SUBSTITUTE(SUBSTITUTE(Tabela131830373839404142[[#This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2" s="9" t="str">
        <f>IFERROR(_xlfn.TEXTAFTER(Tabela131830373839404142[[#This Row],[File Name]], "/", -1),"")</f>
        <v/>
      </c>
      <c r="I102" s="41"/>
      <c r="J102" s="41"/>
      <c r="K102" s="41" t="str">
        <f>IFERROR(_xlfn.LET(
    _xlpm.txt, TRIM(SUBSTITUTE(SUBSTITUTE(Tabela131830373839404142[[#This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2" s="9" t="str">
        <f>IFERROR(_xlfn.TEXTAFTER(Tabela131830373839404142[[#This Row],[File Name2]], "/", -1),"")</f>
        <v/>
      </c>
      <c r="M102" s="41" t="str">
        <f>IF(Tabela131830373839404142[[#This Row],[Symmetry]]="","",Tabela131830373839404142[[#This Row],[Symmetry]]=Tabela131830373839404142[[#This Row],[Symmetry2]])</f>
        <v/>
      </c>
      <c r="N102" s="41" t="str">
        <f>IF(Tabela131830373839404142[[#This Row],[Database]]="","",Tabela131830373839404142[[#This Row],[Database]]=Tabela131830373839404142[[#This Row],[Database2]])</f>
        <v/>
      </c>
      <c r="O102" s="41" t="str">
        <f>IF(Tabela131830373839404142[[#This Row],[File]]="","",Tabela131830373839404142[[#This Row],[File]]=Tabela131830373839404142[[#This Row],[File2]])</f>
        <v/>
      </c>
    </row>
    <row r="103" spans="4:15" ht="25.25" customHeight="1" x14ac:dyDescent="0.45">
      <c r="D103" s="73" t="s">
        <v>345</v>
      </c>
      <c r="E103" s="39"/>
      <c r="F103" s="41"/>
      <c r="G103" s="41" t="str">
        <f>IFERROR(_xlfn.LET(
    _xlpm.txt, TRIM(SUBSTITUTE(SUBSTITUTE(Tabela131830373839404142[[#This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3" s="9" t="str">
        <f>IFERROR(_xlfn.TEXTAFTER(Tabela131830373839404142[[#This Row],[File Name]], "/", -1),"")</f>
        <v/>
      </c>
      <c r="I103" s="41"/>
      <c r="J103" s="41"/>
      <c r="K103" s="41" t="str">
        <f>IFERROR(_xlfn.LET(
    _xlpm.txt, TRIM(SUBSTITUTE(SUBSTITUTE(Tabela131830373839404142[[#This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3" s="9" t="str">
        <f>IFERROR(_xlfn.TEXTAFTER(Tabela131830373839404142[[#This Row],[File Name2]], "/", -1),"")</f>
        <v/>
      </c>
      <c r="M103" s="41" t="str">
        <f>IF(Tabela131830373839404142[[#This Row],[Symmetry]]="","",Tabela131830373839404142[[#This Row],[Symmetry]]=Tabela131830373839404142[[#This Row],[Symmetry2]])</f>
        <v/>
      </c>
      <c r="N103" s="41" t="str">
        <f>IF(Tabela131830373839404142[[#This Row],[Database]]="","",Tabela131830373839404142[[#This Row],[Database]]=Tabela131830373839404142[[#This Row],[Database2]])</f>
        <v/>
      </c>
      <c r="O103" s="41" t="str">
        <f>IF(Tabela131830373839404142[[#This Row],[File]]="","",Tabela131830373839404142[[#This Row],[File]]=Tabela131830373839404142[[#This Row],[File2]])</f>
        <v/>
      </c>
    </row>
    <row r="104" spans="4:15" ht="25.25" customHeight="1" x14ac:dyDescent="0.45">
      <c r="D104" s="75" t="s">
        <v>346</v>
      </c>
      <c r="E104" s="39"/>
      <c r="F104" s="41"/>
      <c r="G104" s="41" t="str">
        <f>IFERROR(_xlfn.LET(
    _xlpm.txt, TRIM(SUBSTITUTE(SUBSTITUTE(Tabela131830373839404142[[#This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4" s="9" t="str">
        <f>IFERROR(_xlfn.TEXTAFTER(Tabela131830373839404142[[#This Row],[File Name]], "/", -1),"")</f>
        <v/>
      </c>
      <c r="I104" s="41"/>
      <c r="J104" s="41"/>
      <c r="K104" s="41" t="str">
        <f>IFERROR(_xlfn.LET(
    _xlpm.txt, TRIM(SUBSTITUTE(SUBSTITUTE(Tabela131830373839404142[[#This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4" s="9" t="str">
        <f>IFERROR(_xlfn.TEXTAFTER(Tabela131830373839404142[[#This Row],[File Name2]], "/", -1),"")</f>
        <v/>
      </c>
      <c r="M104" s="41" t="str">
        <f>IF(Tabela131830373839404142[[#This Row],[Symmetry]]="","",Tabela131830373839404142[[#This Row],[Symmetry]]=Tabela131830373839404142[[#This Row],[Symmetry2]])</f>
        <v/>
      </c>
      <c r="N104" s="41" t="str">
        <f>IF(Tabela131830373839404142[[#This Row],[Database]]="","",Tabela131830373839404142[[#This Row],[Database]]=Tabela131830373839404142[[#This Row],[Database2]])</f>
        <v/>
      </c>
      <c r="O104" s="41" t="str">
        <f>IF(Tabela131830373839404142[[#This Row],[File]]="","",Tabela131830373839404142[[#This Row],[File]]=Tabela131830373839404142[[#This Row],[File2]])</f>
        <v/>
      </c>
    </row>
    <row r="105" spans="4:15" ht="25.25" customHeight="1" x14ac:dyDescent="0.45">
      <c r="D105" s="75" t="s">
        <v>347</v>
      </c>
      <c r="E105" s="39"/>
      <c r="F105" s="41"/>
      <c r="G105" s="41" t="str">
        <f>IFERROR(_xlfn.LET(
    _xlpm.txt, TRIM(SUBSTITUTE(SUBSTITUTE(Tabela131830373839404142[[#This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5" s="9" t="str">
        <f>IFERROR(_xlfn.TEXTAFTER(Tabela131830373839404142[[#This Row],[File Name]], "/", -1),"")</f>
        <v/>
      </c>
      <c r="I105" s="41"/>
      <c r="J105" s="41"/>
      <c r="K105" s="41" t="str">
        <f>IFERROR(_xlfn.LET(
    _xlpm.txt, TRIM(SUBSTITUTE(SUBSTITUTE(Tabela131830373839404142[[#This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5" s="9" t="str">
        <f>IFERROR(_xlfn.TEXTAFTER(Tabela131830373839404142[[#This Row],[File Name2]], "/", -1),"")</f>
        <v/>
      </c>
      <c r="M105" s="41" t="str">
        <f>IF(Tabela131830373839404142[[#This Row],[Symmetry]]="","",Tabela131830373839404142[[#This Row],[Symmetry]]=Tabela131830373839404142[[#This Row],[Symmetry2]])</f>
        <v/>
      </c>
      <c r="N105" s="41" t="str">
        <f>IF(Tabela131830373839404142[[#This Row],[Database]]="","",Tabela131830373839404142[[#This Row],[Database]]=Tabela131830373839404142[[#This Row],[Database2]])</f>
        <v/>
      </c>
      <c r="O105" s="41" t="str">
        <f>IF(Tabela131830373839404142[[#This Row],[File]]="","",Tabela131830373839404142[[#This Row],[File]]=Tabela131830373839404142[[#This Row],[File2]])</f>
        <v/>
      </c>
    </row>
    <row r="106" spans="4:15" ht="22.9" thickBot="1" x14ac:dyDescent="0.5"/>
    <row r="107" spans="4:15" s="2" customFormat="1" ht="32" customHeight="1" thickBot="1" x14ac:dyDescent="0.5">
      <c r="D107" s="80" t="s">
        <v>391</v>
      </c>
      <c r="E107" s="7" t="s">
        <v>16</v>
      </c>
      <c r="F107" s="7" t="s">
        <v>263</v>
      </c>
      <c r="G107" s="7" t="s">
        <v>370</v>
      </c>
      <c r="H107" s="84" t="s">
        <v>371</v>
      </c>
      <c r="I107" s="3" t="s">
        <v>20</v>
      </c>
      <c r="J107" s="3" t="s">
        <v>368</v>
      </c>
      <c r="K107" s="3" t="s">
        <v>372</v>
      </c>
      <c r="L107" s="85" t="s">
        <v>375</v>
      </c>
      <c r="M107" s="4" t="s">
        <v>369</v>
      </c>
      <c r="N107" s="4" t="s">
        <v>374</v>
      </c>
      <c r="O107" s="4" t="s">
        <v>373</v>
      </c>
    </row>
    <row r="108" spans="4:15" ht="25.25" customHeight="1" x14ac:dyDescent="0.45">
      <c r="D108" s="81" t="s">
        <v>344</v>
      </c>
      <c r="E108" s="39"/>
      <c r="F108" s="41"/>
      <c r="G108" s="41" t="str">
        <f>IFERROR(_xlfn.LET(
    _xlpm.txt, TRIM(SUBSTITUTE(SUBSTITUTE(Tabela13183037383940414243[[#This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8" s="9" t="str">
        <f>IFERROR(_xlfn.TEXTAFTER(Tabela13183037383940414243[[#This Row],[File Name]], "/", -1),"")</f>
        <v/>
      </c>
      <c r="I108" s="41"/>
      <c r="J108" s="41"/>
      <c r="K108" s="41" t="str">
        <f>IFERROR(_xlfn.LET(
    _xlpm.txt, TRIM(SUBSTITUTE(SUBSTITUTE(Tabela13183037383940414243[[#This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8" s="9" t="str">
        <f>IFERROR(_xlfn.TEXTAFTER(Tabela13183037383940414243[[#This Row],[File Name2]], "/", -1),"")</f>
        <v/>
      </c>
      <c r="M108" s="41" t="str">
        <f>IF(Tabela13183037383940414243[[#This Row],[Symmetry]]="","",Tabela13183037383940414243[[#This Row],[Symmetry]]=Tabela13183037383940414243[[#This Row],[Symmetry2]])</f>
        <v/>
      </c>
      <c r="N108" s="41" t="str">
        <f>IF(Tabela13183037383940414243[[#This Row],[Database]]="","",Tabela13183037383940414243[[#This Row],[Database]]=Tabela13183037383940414243[[#This Row],[Database2]])</f>
        <v/>
      </c>
      <c r="O108" s="41" t="str">
        <f>IF(Tabela13183037383940414243[[#This Row],[File]]="","",Tabela13183037383940414243[[#This Row],[File]]=Tabela13183037383940414243[[#This Row],[File2]])</f>
        <v/>
      </c>
    </row>
    <row r="109" spans="4:15" ht="25.25" customHeight="1" x14ac:dyDescent="0.45">
      <c r="D109" s="82" t="s">
        <v>345</v>
      </c>
      <c r="E109" s="39"/>
      <c r="F109" s="41"/>
      <c r="G109" s="41" t="str">
        <f>IFERROR(_xlfn.LET(
    _xlpm.txt, TRIM(SUBSTITUTE(SUBSTITUTE(Tabela13183037383940414243[[#This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09" s="9" t="str">
        <f>IFERROR(_xlfn.TEXTAFTER(Tabela13183037383940414243[[#This Row],[File Name]], "/", -1),"")</f>
        <v/>
      </c>
      <c r="I109" s="41"/>
      <c r="J109" s="41"/>
      <c r="K109" s="41" t="str">
        <f>IFERROR(_xlfn.LET(
    _xlpm.txt, TRIM(SUBSTITUTE(SUBSTITUTE(Tabela13183037383940414243[[#This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09" s="9" t="str">
        <f>IFERROR(_xlfn.TEXTAFTER(Tabela13183037383940414243[[#This Row],[File Name2]], "/", -1),"")</f>
        <v/>
      </c>
      <c r="M109" s="41" t="str">
        <f>IF(Tabela13183037383940414243[[#This Row],[Symmetry]]="","",Tabela13183037383940414243[[#This Row],[Symmetry]]=Tabela13183037383940414243[[#This Row],[Symmetry2]])</f>
        <v/>
      </c>
      <c r="N109" s="41" t="str">
        <f>IF(Tabela13183037383940414243[[#This Row],[Database]]="","",Tabela13183037383940414243[[#This Row],[Database]]=Tabela13183037383940414243[[#This Row],[Database2]])</f>
        <v/>
      </c>
      <c r="O109" s="41" t="str">
        <f>IF(Tabela13183037383940414243[[#This Row],[File]]="","",Tabela13183037383940414243[[#This Row],[File]]=Tabela13183037383940414243[[#This Row],[File2]])</f>
        <v/>
      </c>
    </row>
    <row r="110" spans="4:15" ht="25.25" customHeight="1" x14ac:dyDescent="0.45">
      <c r="D110" s="83" t="s">
        <v>346</v>
      </c>
      <c r="E110" s="39"/>
      <c r="F110" s="41"/>
      <c r="G110" s="41" t="str">
        <f>IFERROR(_xlfn.LET(
    _xlpm.txt, TRIM(SUBSTITUTE(SUBSTITUTE(Tabela13183037383940414243[[#This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0" s="9" t="str">
        <f>IFERROR(_xlfn.TEXTAFTER(Tabela13183037383940414243[[#This Row],[File Name]], "/", -1),"")</f>
        <v/>
      </c>
      <c r="I110" s="41"/>
      <c r="J110" s="41"/>
      <c r="K110" s="41" t="str">
        <f>IFERROR(_xlfn.LET(
    _xlpm.txt, TRIM(SUBSTITUTE(SUBSTITUTE(Tabela13183037383940414243[[#This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0" s="9" t="str">
        <f>IFERROR(_xlfn.TEXTAFTER(Tabela13183037383940414243[[#This Row],[File Name2]], "/", -1),"")</f>
        <v/>
      </c>
      <c r="M110" s="41" t="str">
        <f>IF(Tabela13183037383940414243[[#This Row],[Symmetry]]="","",Tabela13183037383940414243[[#This Row],[Symmetry]]=Tabela13183037383940414243[[#This Row],[Symmetry2]])</f>
        <v/>
      </c>
      <c r="N110" s="41" t="str">
        <f>IF(Tabela13183037383940414243[[#This Row],[Database]]="","",Tabela13183037383940414243[[#This Row],[Database]]=Tabela13183037383940414243[[#This Row],[Database2]])</f>
        <v/>
      </c>
      <c r="O110" s="41" t="str">
        <f>IF(Tabela13183037383940414243[[#This Row],[File]]="","",Tabela13183037383940414243[[#This Row],[File]]=Tabela13183037383940414243[[#This Row],[File2]])</f>
        <v/>
      </c>
    </row>
    <row r="111" spans="4:15" ht="25.25" customHeight="1" x14ac:dyDescent="0.45">
      <c r="D111" s="83" t="s">
        <v>347</v>
      </c>
      <c r="E111" s="39"/>
      <c r="F111" s="41"/>
      <c r="G111" s="41" t="str">
        <f>IFERROR(_xlfn.LET(
    _xlpm.txt, TRIM(SUBSTITUTE(SUBSTITUTE(Tabela13183037383940414243[[#This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1" s="9" t="str">
        <f>IFERROR(_xlfn.TEXTAFTER(Tabela13183037383940414243[[#This Row],[File Name]], "/", -1),"")</f>
        <v/>
      </c>
      <c r="I111" s="41"/>
      <c r="J111" s="41"/>
      <c r="K111" s="41" t="str">
        <f>IFERROR(_xlfn.LET(
    _xlpm.txt, TRIM(SUBSTITUTE(SUBSTITUTE(Tabela13183037383940414243[[#This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1" s="9" t="str">
        <f>IFERROR(_xlfn.TEXTAFTER(Tabela13183037383940414243[[#This Row],[File Name2]], "/", -1),"")</f>
        <v/>
      </c>
      <c r="M111" s="41" t="str">
        <f>IF(Tabela13183037383940414243[[#This Row],[Symmetry]]="","",Tabela13183037383940414243[[#This Row],[Symmetry]]=Tabela13183037383940414243[[#This Row],[Symmetry2]])</f>
        <v/>
      </c>
      <c r="N111" s="41" t="str">
        <f>IF(Tabela13183037383940414243[[#This Row],[Database]]="","",Tabela13183037383940414243[[#This Row],[Database]]=Tabela13183037383940414243[[#This Row],[Database2]])</f>
        <v/>
      </c>
      <c r="O111" s="41" t="str">
        <f>IF(Tabela13183037383940414243[[#This Row],[File]]="","",Tabela13183037383940414243[[#This Row],[File]]=Tabela13183037383940414243[[#This Row],[File2]])</f>
        <v/>
      </c>
    </row>
    <row r="112" spans="4:15" ht="22.9" thickBot="1" x14ac:dyDescent="0.5"/>
    <row r="113" spans="4:15" ht="32" customHeight="1" thickBot="1" x14ac:dyDescent="0.5">
      <c r="D113" s="70" t="s">
        <v>392</v>
      </c>
      <c r="E113" s="7" t="s">
        <v>16</v>
      </c>
      <c r="F113" s="7" t="s">
        <v>263</v>
      </c>
      <c r="G113" s="7" t="s">
        <v>370</v>
      </c>
      <c r="H113" s="84" t="s">
        <v>371</v>
      </c>
      <c r="I113" s="3" t="s">
        <v>20</v>
      </c>
      <c r="J113" s="3" t="s">
        <v>368</v>
      </c>
      <c r="K113" s="3" t="s">
        <v>372</v>
      </c>
      <c r="L113" s="85" t="s">
        <v>375</v>
      </c>
      <c r="M113" s="4" t="s">
        <v>369</v>
      </c>
      <c r="N113" s="4" t="s">
        <v>374</v>
      </c>
      <c r="O113" s="4" t="s">
        <v>373</v>
      </c>
    </row>
    <row r="114" spans="4:15" ht="25.25" customHeight="1" x14ac:dyDescent="0.45">
      <c r="D114" s="71" t="s">
        <v>303</v>
      </c>
      <c r="E114" s="39"/>
      <c r="F114" s="41"/>
      <c r="G114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4" s="9" t="str">
        <f>IFERROR(_xlfn.TEXTAFTER(Tabela13183037383912[[#This Row],[File Name]], "/", -1),"")</f>
        <v/>
      </c>
      <c r="I114" s="41"/>
      <c r="J114" s="41"/>
      <c r="K114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4" s="9" t="str">
        <f>IFERROR(_xlfn.TEXTAFTER(Tabela13183037383912[[#This Row],[File Name2]], "/", -1),"")</f>
        <v/>
      </c>
      <c r="M114" s="41" t="str">
        <f>IF(Tabela13183037383912[[#This Row],[Symmetry]]="","",Tabela13183037383912[[#This Row],[Symmetry]]=Tabela13183037383912[[#This Row],[Symmetry2]])</f>
        <v/>
      </c>
      <c r="N114" s="41" t="str">
        <f>IF(Tabela13183037383912[[#This Row],[Database]]="","",Tabela13183037383912[[#This Row],[Database]]=Tabela13183037383912[[#This Row],[Database2]])</f>
        <v/>
      </c>
      <c r="O114" s="41" t="str">
        <f>IF(Tabela13183037383912[[#This Row],[File]]="","",Tabela13183037383912[[#This Row],[File]]=Tabela13183037383912[[#This Row],[File2]])</f>
        <v/>
      </c>
    </row>
    <row r="115" spans="4:15" ht="25.25" customHeight="1" x14ac:dyDescent="0.45">
      <c r="D115" s="73" t="s">
        <v>304</v>
      </c>
      <c r="E115" s="39"/>
      <c r="F115" s="41"/>
      <c r="G115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5" s="9" t="str">
        <f>IFERROR(_xlfn.TEXTAFTER(Tabela13183037383912[[#This Row],[File Name]], "/", -1),"")</f>
        <v/>
      </c>
      <c r="I115" s="41"/>
      <c r="J115" s="41"/>
      <c r="K115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5" s="9" t="str">
        <f>IFERROR(_xlfn.TEXTAFTER(Tabela13183037383912[[#This Row],[File Name2]], "/", -1),"")</f>
        <v/>
      </c>
      <c r="M115" s="41" t="str">
        <f>IF(Tabela13183037383912[[#This Row],[Symmetry]]="","",Tabela13183037383912[[#This Row],[Symmetry]]=Tabela13183037383912[[#This Row],[Symmetry2]])</f>
        <v/>
      </c>
      <c r="N115" s="41" t="str">
        <f>IF(Tabela13183037383912[[#This Row],[Database]]="","",Tabela13183037383912[[#This Row],[Database]]=Tabela13183037383912[[#This Row],[Database2]])</f>
        <v/>
      </c>
      <c r="O115" s="41" t="str">
        <f>IF(Tabela13183037383912[[#This Row],[File]]="","",Tabela13183037383912[[#This Row],[File]]=Tabela13183037383912[[#This Row],[File2]])</f>
        <v/>
      </c>
    </row>
    <row r="116" spans="4:15" ht="25.25" customHeight="1" x14ac:dyDescent="0.45">
      <c r="D116" s="75" t="s">
        <v>305</v>
      </c>
      <c r="E116" s="39"/>
      <c r="F116" s="41"/>
      <c r="G116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6" s="9" t="str">
        <f>IFERROR(_xlfn.TEXTAFTER(Tabela13183037383912[[#This Row],[File Name]], "/", -1),"")</f>
        <v/>
      </c>
      <c r="I116" s="41"/>
      <c r="J116" s="41"/>
      <c r="K116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6" s="9" t="str">
        <f>IFERROR(_xlfn.TEXTAFTER(Tabela13183037383912[[#This Row],[File Name2]], "/", -1),"")</f>
        <v/>
      </c>
      <c r="M116" s="41" t="str">
        <f>IF(Tabela13183037383912[[#This Row],[Symmetry]]="","",Tabela13183037383912[[#This Row],[Symmetry]]=Tabela13183037383912[[#This Row],[Symmetry2]])</f>
        <v/>
      </c>
      <c r="N116" s="41" t="str">
        <f>IF(Tabela13183037383912[[#This Row],[Database]]="","",Tabela13183037383912[[#This Row],[Database]]=Tabela13183037383912[[#This Row],[Database2]])</f>
        <v/>
      </c>
      <c r="O116" s="41" t="str">
        <f>IF(Tabela13183037383912[[#This Row],[File]]="","",Tabela13183037383912[[#This Row],[File]]=Tabela13183037383912[[#This Row],[File2]])</f>
        <v/>
      </c>
    </row>
    <row r="117" spans="4:15" ht="25.25" customHeight="1" x14ac:dyDescent="0.45">
      <c r="D117" s="75" t="s">
        <v>306</v>
      </c>
      <c r="E117" s="39"/>
      <c r="F117" s="41"/>
      <c r="G117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7" s="9" t="str">
        <f>IFERROR(_xlfn.TEXTAFTER(Tabela13183037383912[[#This Row],[File Name]], "/", -1),"")</f>
        <v/>
      </c>
      <c r="I117" s="41"/>
      <c r="J117" s="41"/>
      <c r="K117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7" s="9" t="str">
        <f>IFERROR(_xlfn.TEXTAFTER(Tabela13183037383912[[#This Row],[File Name2]], "/", -1),"")</f>
        <v/>
      </c>
      <c r="M117" s="41" t="str">
        <f>IF(Tabela13183037383912[[#This Row],[Symmetry]]="","",Tabela13183037383912[[#This Row],[Symmetry]]=Tabela13183037383912[[#This Row],[Symmetry2]])</f>
        <v/>
      </c>
      <c r="N117" s="41" t="str">
        <f>IF(Tabela13183037383912[[#This Row],[Database]]="","",Tabela13183037383912[[#This Row],[Database]]=Tabela13183037383912[[#This Row],[Database2]])</f>
        <v/>
      </c>
      <c r="O117" s="41" t="str">
        <f>IF(Tabela13183037383912[[#This Row],[File]]="","",Tabela13183037383912[[#This Row],[File]]=Tabela13183037383912[[#This Row],[File2]])</f>
        <v/>
      </c>
    </row>
    <row r="118" spans="4:15" ht="25.25" customHeight="1" x14ac:dyDescent="0.45">
      <c r="D118" s="75" t="s">
        <v>307</v>
      </c>
      <c r="E118" s="39"/>
      <c r="F118" s="41"/>
      <c r="G118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8" s="9" t="str">
        <f>IFERROR(_xlfn.TEXTAFTER(Tabela13183037383912[[#This Row],[File Name]], "/", -1),"")</f>
        <v/>
      </c>
      <c r="I118" s="41"/>
      <c r="J118" s="41"/>
      <c r="K118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8" s="9" t="str">
        <f>IFERROR(_xlfn.TEXTAFTER(Tabela13183037383912[[#This Row],[File Name2]], "/", -1),"")</f>
        <v/>
      </c>
      <c r="M118" s="41" t="str">
        <f>IF(Tabela13183037383912[[#This Row],[Symmetry]]="","",Tabela13183037383912[[#This Row],[Symmetry]]=Tabela13183037383912[[#This Row],[Symmetry2]])</f>
        <v/>
      </c>
      <c r="N118" s="41" t="str">
        <f>IF(Tabela13183037383912[[#This Row],[Database]]="","",Tabela13183037383912[[#This Row],[Database]]=Tabela13183037383912[[#This Row],[Database2]])</f>
        <v/>
      </c>
      <c r="O118" s="41" t="str">
        <f>IF(Tabela13183037383912[[#This Row],[File]]="","",Tabela13183037383912[[#This Row],[File]]=Tabela13183037383912[[#This Row],[File2]])</f>
        <v/>
      </c>
    </row>
    <row r="119" spans="4:15" ht="25.25" customHeight="1" x14ac:dyDescent="0.45">
      <c r="D119" s="75" t="s">
        <v>308</v>
      </c>
      <c r="E119" s="39"/>
      <c r="F119" s="41"/>
      <c r="G119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19" s="9" t="str">
        <f>IFERROR(_xlfn.TEXTAFTER(Tabela13183037383912[[#This Row],[File Name]], "/", -1),"")</f>
        <v/>
      </c>
      <c r="I119" s="41"/>
      <c r="J119" s="41"/>
      <c r="K119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19" s="9" t="str">
        <f>IFERROR(_xlfn.TEXTAFTER(Tabela13183037383912[[#This Row],[File Name2]], "/", -1),"")</f>
        <v/>
      </c>
      <c r="M119" s="41" t="str">
        <f>IF(Tabela13183037383912[[#This Row],[Symmetry]]="","",Tabela13183037383912[[#This Row],[Symmetry]]=Tabela13183037383912[[#This Row],[Symmetry2]])</f>
        <v/>
      </c>
      <c r="N119" s="41" t="str">
        <f>IF(Tabela13183037383912[[#This Row],[Database]]="","",Tabela13183037383912[[#This Row],[Database]]=Tabela13183037383912[[#This Row],[Database2]])</f>
        <v/>
      </c>
      <c r="O119" s="41" t="str">
        <f>IF(Tabela13183037383912[[#This Row],[File]]="","",Tabela13183037383912[[#This Row],[File]]=Tabela13183037383912[[#This Row],[File2]])</f>
        <v/>
      </c>
    </row>
    <row r="120" spans="4:15" ht="25.25" customHeight="1" x14ac:dyDescent="0.45">
      <c r="D120" s="75" t="s">
        <v>309</v>
      </c>
      <c r="E120" s="39"/>
      <c r="F120" s="41"/>
      <c r="G120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0" s="9" t="str">
        <f>IFERROR(_xlfn.TEXTAFTER(Tabela13183037383912[[#This Row],[File Name]], "/", -1),"")</f>
        <v/>
      </c>
      <c r="I120" s="41"/>
      <c r="J120" s="41"/>
      <c r="K120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0" s="9" t="str">
        <f>IFERROR(_xlfn.TEXTAFTER(Tabela13183037383912[[#This Row],[File Name2]], "/", -1),"")</f>
        <v/>
      </c>
      <c r="M120" s="41" t="str">
        <f>IF(Tabela13183037383912[[#This Row],[Symmetry]]="","",Tabela13183037383912[[#This Row],[Symmetry]]=Tabela13183037383912[[#This Row],[Symmetry2]])</f>
        <v/>
      </c>
      <c r="N120" s="41" t="str">
        <f>IF(Tabela13183037383912[[#This Row],[Database]]="","",Tabela13183037383912[[#This Row],[Database]]=Tabela13183037383912[[#This Row],[Database2]])</f>
        <v/>
      </c>
      <c r="O120" s="41" t="str">
        <f>IF(Tabela13183037383912[[#This Row],[File]]="","",Tabela13183037383912[[#This Row],[File]]=Tabela13183037383912[[#This Row],[File2]])</f>
        <v/>
      </c>
    </row>
    <row r="121" spans="4:15" ht="25.25" customHeight="1" x14ac:dyDescent="0.45">
      <c r="D121" s="75" t="s">
        <v>310</v>
      </c>
      <c r="E121" s="39"/>
      <c r="F121" s="41"/>
      <c r="G121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1" s="9" t="str">
        <f>IFERROR(_xlfn.TEXTAFTER(Tabela13183037383912[[#This Row],[File Name]], "/", -1),"")</f>
        <v/>
      </c>
      <c r="I121" s="41"/>
      <c r="J121" s="41"/>
      <c r="K121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1" s="9" t="str">
        <f>IFERROR(_xlfn.TEXTAFTER(Tabela13183037383912[[#This Row],[File Name2]], "/", -1),"")</f>
        <v/>
      </c>
      <c r="M121" s="41" t="str">
        <f>IF(Tabela13183037383912[[#This Row],[Symmetry]]="","",Tabela13183037383912[[#This Row],[Symmetry]]=Tabela13183037383912[[#This Row],[Symmetry2]])</f>
        <v/>
      </c>
      <c r="N121" s="41" t="str">
        <f>IF(Tabela13183037383912[[#This Row],[Database]]="","",Tabela13183037383912[[#This Row],[Database]]=Tabela13183037383912[[#This Row],[Database2]])</f>
        <v/>
      </c>
      <c r="O121" s="41" t="str">
        <f>IF(Tabela13183037383912[[#This Row],[File]]="","",Tabela13183037383912[[#This Row],[File]]=Tabela13183037383912[[#This Row],[File2]])</f>
        <v/>
      </c>
    </row>
    <row r="122" spans="4:15" ht="25.25" customHeight="1" x14ac:dyDescent="0.45">
      <c r="D122" s="75" t="s">
        <v>311</v>
      </c>
      <c r="E122" s="39"/>
      <c r="F122" s="41"/>
      <c r="G122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2" s="9" t="str">
        <f>IFERROR(_xlfn.TEXTAFTER(Tabela13183037383912[[#This Row],[File Name]], "/", -1),"")</f>
        <v/>
      </c>
      <c r="I122" s="41"/>
      <c r="J122" s="41"/>
      <c r="K122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2" s="9" t="str">
        <f>IFERROR(_xlfn.TEXTAFTER(Tabela13183037383912[[#This Row],[File Name2]], "/", -1),"")</f>
        <v/>
      </c>
      <c r="M122" s="41" t="str">
        <f>IF(Tabela13183037383912[[#This Row],[Symmetry]]="","",Tabela13183037383912[[#This Row],[Symmetry]]=Tabela13183037383912[[#This Row],[Symmetry2]])</f>
        <v/>
      </c>
      <c r="N122" s="41" t="str">
        <f>IF(Tabela13183037383912[[#This Row],[Database]]="","",Tabela13183037383912[[#This Row],[Database]]=Tabela13183037383912[[#This Row],[Database2]])</f>
        <v/>
      </c>
      <c r="O122" s="41" t="str">
        <f>IF(Tabela13183037383912[[#This Row],[File]]="","",Tabela13183037383912[[#This Row],[File]]=Tabela13183037383912[[#This Row],[File2]])</f>
        <v/>
      </c>
    </row>
    <row r="123" spans="4:15" ht="25.25" customHeight="1" x14ac:dyDescent="0.45">
      <c r="D123" s="75" t="s">
        <v>312</v>
      </c>
      <c r="E123" s="39"/>
      <c r="F123" s="41"/>
      <c r="G123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3" s="9" t="str">
        <f>IFERROR(_xlfn.TEXTAFTER(Tabela13183037383912[[#This Row],[File Name]], "/", -1),"")</f>
        <v/>
      </c>
      <c r="I123" s="41"/>
      <c r="J123" s="41"/>
      <c r="K123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3" s="9" t="str">
        <f>IFERROR(_xlfn.TEXTAFTER(Tabela13183037383912[[#This Row],[File Name2]], "/", -1),"")</f>
        <v/>
      </c>
      <c r="M123" s="41" t="str">
        <f>IF(Tabela13183037383912[[#This Row],[Symmetry]]="","",Tabela13183037383912[[#This Row],[Symmetry]]=Tabela13183037383912[[#This Row],[Symmetry2]])</f>
        <v/>
      </c>
      <c r="N123" s="41" t="str">
        <f>IF(Tabela13183037383912[[#This Row],[Database]]="","",Tabela13183037383912[[#This Row],[Database]]=Tabela13183037383912[[#This Row],[Database2]])</f>
        <v/>
      </c>
      <c r="O123" s="41" t="str">
        <f>IF(Tabela13183037383912[[#This Row],[File]]="","",Tabela13183037383912[[#This Row],[File]]=Tabela13183037383912[[#This Row],[File2]])</f>
        <v/>
      </c>
    </row>
    <row r="124" spans="4:15" ht="25.25" customHeight="1" x14ac:dyDescent="0.45">
      <c r="D124" s="75" t="s">
        <v>313</v>
      </c>
      <c r="E124" s="39"/>
      <c r="F124" s="41"/>
      <c r="G124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4" s="9" t="str">
        <f>IFERROR(_xlfn.TEXTAFTER(Tabela13183037383912[[#This Row],[File Name]], "/", -1),"")</f>
        <v/>
      </c>
      <c r="I124" s="41"/>
      <c r="J124" s="41"/>
      <c r="K124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4" s="9" t="str">
        <f>IFERROR(_xlfn.TEXTAFTER(Tabela13183037383912[[#This Row],[File Name2]], "/", -1),"")</f>
        <v/>
      </c>
      <c r="M124" s="41" t="str">
        <f>IF(Tabela13183037383912[[#This Row],[Symmetry]]="","",Tabela13183037383912[[#This Row],[Symmetry]]=Tabela13183037383912[[#This Row],[Symmetry2]])</f>
        <v/>
      </c>
      <c r="N124" s="41" t="str">
        <f>IF(Tabela13183037383912[[#This Row],[Database]]="","",Tabela13183037383912[[#This Row],[Database]]=Tabela13183037383912[[#This Row],[Database2]])</f>
        <v/>
      </c>
      <c r="O124" s="41" t="str">
        <f>IF(Tabela13183037383912[[#This Row],[File]]="","",Tabela13183037383912[[#This Row],[File]]=Tabela13183037383912[[#This Row],[File2]])</f>
        <v/>
      </c>
    </row>
    <row r="125" spans="4:15" ht="25.25" customHeight="1" x14ac:dyDescent="0.45">
      <c r="D125" s="75" t="s">
        <v>314</v>
      </c>
      <c r="E125" s="39"/>
      <c r="F125" s="41"/>
      <c r="G125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5" s="9" t="str">
        <f>IFERROR(_xlfn.TEXTAFTER(Tabela13183037383912[[#This Row],[File Name]], "/", -1),"")</f>
        <v/>
      </c>
      <c r="I125" s="41"/>
      <c r="J125" s="41"/>
      <c r="K125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5" s="9" t="str">
        <f>IFERROR(_xlfn.TEXTAFTER(Tabela13183037383912[[#This Row],[File Name2]], "/", -1),"")</f>
        <v/>
      </c>
      <c r="M125" s="41" t="str">
        <f>IF(Tabela13183037383912[[#This Row],[Symmetry]]="","",Tabela13183037383912[[#This Row],[Symmetry]]=Tabela13183037383912[[#This Row],[Symmetry2]])</f>
        <v/>
      </c>
      <c r="N125" s="41" t="str">
        <f>IF(Tabela13183037383912[[#This Row],[Database]]="","",Tabela13183037383912[[#This Row],[Database]]=Tabela13183037383912[[#This Row],[Database2]])</f>
        <v/>
      </c>
      <c r="O125" s="41" t="str">
        <f>IF(Tabela13183037383912[[#This Row],[File]]="","",Tabela13183037383912[[#This Row],[File]]=Tabela13183037383912[[#This Row],[File2]])</f>
        <v/>
      </c>
    </row>
    <row r="126" spans="4:15" ht="25.25" customHeight="1" x14ac:dyDescent="0.45">
      <c r="D126" s="75" t="s">
        <v>315</v>
      </c>
      <c r="E126" s="39"/>
      <c r="F126" s="41"/>
      <c r="G126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6" s="9" t="str">
        <f>IFERROR(_xlfn.TEXTAFTER(Tabela13183037383912[[#This Row],[File Name]], "/", -1),"")</f>
        <v/>
      </c>
      <c r="I126" s="41"/>
      <c r="J126" s="41"/>
      <c r="K126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6" s="9" t="str">
        <f>IFERROR(_xlfn.TEXTAFTER(Tabela13183037383912[[#This Row],[File Name2]], "/", -1),"")</f>
        <v/>
      </c>
      <c r="M126" s="41" t="str">
        <f>IF(Tabela13183037383912[[#This Row],[Symmetry]]="","",Tabela13183037383912[[#This Row],[Symmetry]]=Tabela13183037383912[[#This Row],[Symmetry2]])</f>
        <v/>
      </c>
      <c r="N126" s="41" t="str">
        <f>IF(Tabela13183037383912[[#This Row],[Database]]="","",Tabela13183037383912[[#This Row],[Database]]=Tabela13183037383912[[#This Row],[Database2]])</f>
        <v/>
      </c>
      <c r="O126" s="41" t="str">
        <f>IF(Tabela13183037383912[[#This Row],[File]]="","",Tabela13183037383912[[#This Row],[File]]=Tabela13183037383912[[#This Row],[File2]])</f>
        <v/>
      </c>
    </row>
    <row r="127" spans="4:15" ht="25.25" customHeight="1" x14ac:dyDescent="0.45">
      <c r="D127" s="75" t="s">
        <v>316</v>
      </c>
      <c r="E127" s="39"/>
      <c r="F127" s="41"/>
      <c r="G127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7" s="9" t="str">
        <f>IFERROR(_xlfn.TEXTAFTER(Tabela13183037383912[[#This Row],[File Name]], "/", -1),"")</f>
        <v/>
      </c>
      <c r="I127" s="41"/>
      <c r="J127" s="41"/>
      <c r="K127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7" s="9" t="str">
        <f>IFERROR(_xlfn.TEXTAFTER(Tabela13183037383912[[#This Row],[File Name2]], "/", -1),"")</f>
        <v/>
      </c>
      <c r="M127" s="41" t="str">
        <f>IF(Tabela13183037383912[[#This Row],[Symmetry]]="","",Tabela13183037383912[[#This Row],[Symmetry]]=Tabela13183037383912[[#This Row],[Symmetry2]])</f>
        <v/>
      </c>
      <c r="N127" s="41" t="str">
        <f>IF(Tabela13183037383912[[#This Row],[Database]]="","",Tabela13183037383912[[#This Row],[Database]]=Tabela13183037383912[[#This Row],[Database2]])</f>
        <v/>
      </c>
      <c r="O127" s="41" t="str">
        <f>IF(Tabela13183037383912[[#This Row],[File]]="","",Tabela13183037383912[[#This Row],[File]]=Tabela13183037383912[[#This Row],[File2]])</f>
        <v/>
      </c>
    </row>
    <row r="128" spans="4:15" ht="25.25" customHeight="1" x14ac:dyDescent="0.45">
      <c r="D128" s="75" t="s">
        <v>317</v>
      </c>
      <c r="E128" s="39"/>
      <c r="F128" s="41"/>
      <c r="G128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8" s="9" t="str">
        <f>IFERROR(_xlfn.TEXTAFTER(Tabela13183037383912[[#This Row],[File Name]], "/", -1),"")</f>
        <v/>
      </c>
      <c r="I128" s="41"/>
      <c r="J128" s="41"/>
      <c r="K128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8" s="9" t="str">
        <f>IFERROR(_xlfn.TEXTAFTER(Tabela13183037383912[[#This Row],[File Name2]], "/", -1),"")</f>
        <v/>
      </c>
      <c r="M128" s="41" t="str">
        <f>IF(Tabela13183037383912[[#This Row],[Symmetry]]="","",Tabela13183037383912[[#This Row],[Symmetry]]=Tabela13183037383912[[#This Row],[Symmetry2]])</f>
        <v/>
      </c>
      <c r="N128" s="41" t="str">
        <f>IF(Tabela13183037383912[[#This Row],[Database]]="","",Tabela13183037383912[[#This Row],[Database]]=Tabela13183037383912[[#This Row],[Database2]])</f>
        <v/>
      </c>
      <c r="O128" s="41" t="str">
        <f>IF(Tabela13183037383912[[#This Row],[File]]="","",Tabela13183037383912[[#This Row],[File]]=Tabela13183037383912[[#This Row],[File2]])</f>
        <v/>
      </c>
    </row>
    <row r="129" spans="4:15" ht="25.25" customHeight="1" x14ac:dyDescent="0.45">
      <c r="D129" s="75" t="s">
        <v>318</v>
      </c>
      <c r="E129" s="39"/>
      <c r="F129" s="41"/>
      <c r="G129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29" s="9" t="str">
        <f>IFERROR(_xlfn.TEXTAFTER(Tabela13183037383912[[#This Row],[File Name]], "/", -1),"")</f>
        <v/>
      </c>
      <c r="I129" s="41"/>
      <c r="J129" s="41"/>
      <c r="K129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29" s="9" t="str">
        <f>IFERROR(_xlfn.TEXTAFTER(Tabela13183037383912[[#This Row],[File Name2]], "/", -1),"")</f>
        <v/>
      </c>
      <c r="M129" s="41" t="str">
        <f>IF(Tabela13183037383912[[#This Row],[Symmetry]]="","",Tabela13183037383912[[#This Row],[Symmetry]]=Tabela13183037383912[[#This Row],[Symmetry2]])</f>
        <v/>
      </c>
      <c r="N129" s="41" t="str">
        <f>IF(Tabela13183037383912[[#This Row],[Database]]="","",Tabela13183037383912[[#This Row],[Database]]=Tabela13183037383912[[#This Row],[Database2]])</f>
        <v/>
      </c>
      <c r="O129" s="41" t="str">
        <f>IF(Tabela13183037383912[[#This Row],[File]]="","",Tabela13183037383912[[#This Row],[File]]=Tabela13183037383912[[#This Row],[File2]])</f>
        <v/>
      </c>
    </row>
    <row r="130" spans="4:15" ht="25.25" customHeight="1" x14ac:dyDescent="0.45">
      <c r="D130" s="75" t="s">
        <v>319</v>
      </c>
      <c r="E130" s="39"/>
      <c r="F130" s="41"/>
      <c r="G130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30" s="9" t="str">
        <f>IFERROR(_xlfn.TEXTAFTER(Tabela13183037383912[[#This Row],[File Name]], "/", -1),"")</f>
        <v/>
      </c>
      <c r="I130" s="41"/>
      <c r="J130" s="41"/>
      <c r="K130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30" s="9" t="str">
        <f>IFERROR(_xlfn.TEXTAFTER(Tabela13183037383912[[#This Row],[File Name2]], "/", -1),"")</f>
        <v/>
      </c>
      <c r="M130" s="41" t="str">
        <f>IF(Tabela13183037383912[[#This Row],[Symmetry]]="","",Tabela13183037383912[[#This Row],[Symmetry]]=Tabela13183037383912[[#This Row],[Symmetry2]])</f>
        <v/>
      </c>
      <c r="N130" s="41" t="str">
        <f>IF(Tabela13183037383912[[#This Row],[Database]]="","",Tabela13183037383912[[#This Row],[Database]]=Tabela13183037383912[[#This Row],[Database2]])</f>
        <v/>
      </c>
      <c r="O130" s="41" t="str">
        <f>IF(Tabela13183037383912[[#This Row],[File]]="","",Tabela13183037383912[[#This Row],[File]]=Tabela13183037383912[[#This Row],[File2]])</f>
        <v/>
      </c>
    </row>
    <row r="131" spans="4:15" ht="25.25" customHeight="1" x14ac:dyDescent="0.45">
      <c r="D131" s="75" t="s">
        <v>320</v>
      </c>
      <c r="E131" s="39"/>
      <c r="F131" s="41"/>
      <c r="G131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31" s="9" t="str">
        <f>IFERROR(_xlfn.TEXTAFTER(Tabela13183037383912[[#This Row],[File Name]], "/", -1),"")</f>
        <v/>
      </c>
      <c r="I131" s="41"/>
      <c r="J131" s="41"/>
      <c r="K131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31" s="9" t="str">
        <f>IFERROR(_xlfn.TEXTAFTER(Tabela13183037383912[[#This Row],[File Name2]], "/", -1),"")</f>
        <v/>
      </c>
      <c r="M131" s="41" t="str">
        <f>IF(Tabela13183037383912[[#This Row],[Symmetry]]="","",Tabela13183037383912[[#This Row],[Symmetry]]=Tabela13183037383912[[#This Row],[Symmetry2]])</f>
        <v/>
      </c>
      <c r="N131" s="41" t="str">
        <f>IF(Tabela13183037383912[[#This Row],[Database]]="","",Tabela13183037383912[[#This Row],[Database]]=Tabela13183037383912[[#This Row],[Database2]])</f>
        <v/>
      </c>
      <c r="O131" s="41" t="str">
        <f>IF(Tabela13183037383912[[#This Row],[File]]="","",Tabela13183037383912[[#This Row],[File]]=Tabela13183037383912[[#This Row],[File2]])</f>
        <v/>
      </c>
    </row>
    <row r="132" spans="4:15" ht="25.25" customHeight="1" x14ac:dyDescent="0.45">
      <c r="D132" s="75" t="s">
        <v>321</v>
      </c>
      <c r="E132" s="39"/>
      <c r="F132" s="41"/>
      <c r="G132" s="41" t="str">
        <f>IFERROR(_xlfn.LET(
    _xlpm.txt, TRIM(SUBSTITUTE(SUBSTITUTE(Tabela13183037383912[[#This Row],[File Name]],"&lt;",""),"&gt;","")),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H132" s="9" t="str">
        <f>IFERROR(_xlfn.TEXTAFTER(Tabela13183037383912[[#This Row],[File Name]], "/", -1),"")</f>
        <v/>
      </c>
      <c r="I132" s="41"/>
      <c r="J132" s="41"/>
      <c r="K132" s="41" t="str">
        <f>IFERROR(_xlfn.LET(
    _xlpm.txt, TRIM(SUBSTITUTE(SUBSTITUTE(Tabela13183037383912[[#This Row],[File Name2]],"&lt;",""),"&gt;","")),
    _xlpm.posProto, IFERROR(SEARCH("://", _xlpm.txt), 0),
    _xlpm.ini, IF(_xlpm.posProto&gt;0, _xlpm.posProto+3, 1),
    _xlpm.barra, SEARCH("/", _xlpm.txt, _xlpm.ini),
    MID(_xlpm.txt, _xlpm.ini, _xlpm.barra-_xlpm.ini)
),"")</f>
        <v/>
      </c>
      <c r="L132" s="9" t="str">
        <f>IFERROR(_xlfn.TEXTAFTER(Tabela13183037383912[[#This Row],[File Name2]], "/", -1),"")</f>
        <v/>
      </c>
      <c r="M132" s="41" t="str">
        <f>IF(Tabela13183037383912[[#This Row],[Symmetry]]="","",Tabela13183037383912[[#This Row],[Symmetry]]=Tabela13183037383912[[#This Row],[Symmetry2]])</f>
        <v/>
      </c>
      <c r="N132" s="41" t="str">
        <f>IF(Tabela13183037383912[[#This Row],[Database]]="","",Tabela13183037383912[[#This Row],[Database]]=Tabela13183037383912[[#This Row],[Database2]])</f>
        <v/>
      </c>
      <c r="O132" s="41" t="str">
        <f>IF(Tabela13183037383912[[#This Row],[File]]="","",Tabela13183037383912[[#This Row],[File]]=Tabela13183037383912[[#This Row],[File2]])</f>
        <v/>
      </c>
    </row>
  </sheetData>
  <phoneticPr fontId="11" type="noConversion"/>
  <conditionalFormatting sqref="E2:O24">
    <cfRule type="expression" dxfId="17" priority="17">
      <formula>$O2=TRUE</formula>
    </cfRule>
    <cfRule type="expression" dxfId="16" priority="19">
      <formula>$O2=FALSE</formula>
    </cfRule>
  </conditionalFormatting>
  <conditionalFormatting sqref="E27:O43">
    <cfRule type="expression" dxfId="15" priority="15">
      <formula>$O27=TRUE</formula>
    </cfRule>
    <cfRule type="expression" dxfId="14" priority="16">
      <formula>$O27=FALSE</formula>
    </cfRule>
  </conditionalFormatting>
  <conditionalFormatting sqref="E46:O52">
    <cfRule type="expression" dxfId="13" priority="13">
      <formula>$O46=TRUE</formula>
    </cfRule>
    <cfRule type="expression" dxfId="12" priority="14">
      <formula>$O46=FALSE</formula>
    </cfRule>
  </conditionalFormatting>
  <conditionalFormatting sqref="E55:O73">
    <cfRule type="expression" dxfId="11" priority="11">
      <formula>$O55=TRUE</formula>
    </cfRule>
    <cfRule type="expression" dxfId="10" priority="12">
      <formula>$O55=FALSE</formula>
    </cfRule>
  </conditionalFormatting>
  <conditionalFormatting sqref="E76:O87">
    <cfRule type="expression" dxfId="9" priority="9">
      <formula>$O76=TRUE</formula>
    </cfRule>
    <cfRule type="expression" dxfId="8" priority="10">
      <formula>$O76=FALSE</formula>
    </cfRule>
  </conditionalFormatting>
  <conditionalFormatting sqref="E90:O99">
    <cfRule type="expression" dxfId="7" priority="7">
      <formula>$O90=TRUE</formula>
    </cfRule>
    <cfRule type="expression" dxfId="6" priority="8">
      <formula>$O90=FALSE</formula>
    </cfRule>
  </conditionalFormatting>
  <conditionalFormatting sqref="E102:O105">
    <cfRule type="expression" dxfId="5" priority="5">
      <formula>$O102=TRUE</formula>
    </cfRule>
    <cfRule type="expression" dxfId="4" priority="6">
      <formula>$O102=FALSE</formula>
    </cfRule>
  </conditionalFormatting>
  <conditionalFormatting sqref="E108:O111">
    <cfRule type="expression" dxfId="3" priority="3">
      <formula>$O108=TRUE</formula>
    </cfRule>
    <cfRule type="expression" dxfId="2" priority="4">
      <formula>$O108=FALSE</formula>
    </cfRule>
  </conditionalFormatting>
  <conditionalFormatting sqref="E114:O132">
    <cfRule type="expression" dxfId="1" priority="1">
      <formula>$O114=TRUE</formula>
    </cfRule>
    <cfRule type="expression" dxfId="0" priority="2">
      <formula>$O114=FALSE</formula>
    </cfRule>
  </conditionalFormatting>
  <pageMargins left="0.511811024" right="0.511811024" top="0.78740157499999996" bottom="0.78740157499999996" header="0.31496062000000002" footer="0.31496062000000002"/>
  <drawing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4E18B8-3C69-4AF1-A737-56A7D432CFE4}">
          <x14:formula1>
            <xm:f>Listas!$A$2:$A$968</xm:f>
          </x14:formula1>
          <xm:sqref>B4:B6</xm:sqref>
        </x14:dataValidation>
        <x14:dataValidation type="list" allowBlank="1" showInputMessage="1" showErrorMessage="1" xr:uid="{B0581F43-F399-4169-BBBF-7F25A27B9031}">
          <x14:formula1>
            <xm:f>Listas!$A$3:$A$968</xm:f>
          </x14:formula1>
          <xm:sqref>B2:B3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E3FA5-995F-463F-8450-490858ABFC3A}">
  <sheetPr codeName="Folha4">
    <tabColor rgb="FF92D050"/>
  </sheetPr>
  <dimension ref="A2:EU135"/>
  <sheetViews>
    <sheetView showGridLines="0" zoomScale="50" zoomScaleNormal="50" workbookViewId="0">
      <selection activeCell="E20" sqref="E20"/>
    </sheetView>
  </sheetViews>
  <sheetFormatPr defaultRowHeight="14.25" x14ac:dyDescent="0.45"/>
  <cols>
    <col min="1" max="1" width="38.73046875" customWidth="1"/>
    <col min="2" max="2" width="50.59765625" customWidth="1"/>
    <col min="49" max="49" width="14.33203125" bestFit="1" customWidth="1"/>
    <col min="51" max="51" width="15" bestFit="1" customWidth="1"/>
    <col min="52" max="52" width="18" bestFit="1" customWidth="1"/>
    <col min="53" max="53" width="46.46484375" customWidth="1"/>
    <col min="54" max="54" width="26" customWidth="1"/>
    <col min="55" max="55" width="29.796875" customWidth="1"/>
    <col min="56" max="57" width="46.46484375" customWidth="1"/>
    <col min="58" max="58" width="9.19921875" customWidth="1"/>
    <col min="59" max="59" width="19.53125" bestFit="1" customWidth="1"/>
    <col min="60" max="60" width="11.796875" customWidth="1"/>
    <col min="61" max="61" width="10.796875" customWidth="1"/>
    <col min="62" max="73" width="9.1328125"/>
    <col min="74" max="74" width="12" customWidth="1"/>
    <col min="75" max="86" width="11.6640625" customWidth="1"/>
    <col min="87" max="122" width="9.1328125"/>
  </cols>
  <sheetData>
    <row r="2" spans="1:151" s="2" customFormat="1" ht="32" customHeight="1" thickBot="1" x14ac:dyDescent="1.3">
      <c r="A2" s="157" t="s">
        <v>435</v>
      </c>
      <c r="B2" s="157"/>
      <c r="P2" s="161" t="s">
        <v>147</v>
      </c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W2" s="2" t="s">
        <v>148</v>
      </c>
      <c r="AY2" s="2" t="s">
        <v>149</v>
      </c>
      <c r="AZ2" s="2" t="s">
        <v>409</v>
      </c>
      <c r="BA2" s="2" t="s">
        <v>405</v>
      </c>
      <c r="BB2" s="2" t="s">
        <v>150</v>
      </c>
      <c r="BD2" s="2" t="s">
        <v>149</v>
      </c>
      <c r="BE2" s="2" t="s">
        <v>405</v>
      </c>
      <c r="BF2" s="2" t="s">
        <v>150</v>
      </c>
      <c r="BJ2" s="104"/>
      <c r="CI2" s="104"/>
      <c r="DH2" s="104"/>
      <c r="EF2" s="104"/>
    </row>
    <row r="3" spans="1:151" s="2" customFormat="1" ht="32" customHeight="1" thickBot="1" x14ac:dyDescent="1.05">
      <c r="A3" s="120" t="s">
        <v>156</v>
      </c>
      <c r="B3" s="106" t="s">
        <v>393</v>
      </c>
      <c r="D3" s="161" t="s">
        <v>146</v>
      </c>
      <c r="E3" s="161"/>
      <c r="F3" s="161"/>
      <c r="G3" s="161"/>
      <c r="H3" s="161"/>
      <c r="I3" s="161"/>
      <c r="J3" s="161"/>
      <c r="K3" s="161"/>
      <c r="L3" s="161"/>
      <c r="M3" s="161"/>
      <c r="P3" s="158" t="s">
        <v>151</v>
      </c>
      <c r="Q3" s="159"/>
      <c r="R3" s="159"/>
      <c r="S3" s="159"/>
      <c r="T3" s="159"/>
      <c r="U3" s="159"/>
      <c r="V3" s="159"/>
      <c r="W3" s="160"/>
      <c r="AA3" s="158" t="s">
        <v>152</v>
      </c>
      <c r="AB3" s="159"/>
      <c r="AC3" s="159"/>
      <c r="AD3" s="159"/>
      <c r="AE3" s="159"/>
      <c r="AF3" s="159"/>
      <c r="AG3" s="159"/>
      <c r="AH3" s="160"/>
      <c r="AL3" s="158" t="s">
        <v>153</v>
      </c>
      <c r="AM3" s="159"/>
      <c r="AN3" s="159"/>
      <c r="AO3" s="159"/>
      <c r="AP3" s="159"/>
      <c r="AQ3" s="159"/>
      <c r="AR3" s="159"/>
      <c r="AS3" s="160"/>
      <c r="AW3" s="2" t="s">
        <v>393</v>
      </c>
      <c r="AY3" s="2" t="s">
        <v>393</v>
      </c>
      <c r="AZ3" s="2" t="s">
        <v>410</v>
      </c>
      <c r="BA3" s="2" t="s">
        <v>169</v>
      </c>
      <c r="BB3" s="2" t="str">
        <f>B3</f>
        <v>suspension:front</v>
      </c>
      <c r="BC3" s="2" t="str" cm="1">
        <f t="array" ref="BC3:BC24">_xlfn._xlws.FILTER(AZ2:AZ86,AY2:AY86=BB3)</f>
        <v>PT16</v>
      </c>
      <c r="BD3" s="2" t="s">
        <v>393</v>
      </c>
      <c r="BE3" s="2" t="s">
        <v>177</v>
      </c>
      <c r="BF3" s="2" t="str">
        <f>B3</f>
        <v>suspension:front</v>
      </c>
      <c r="BG3" s="2" t="str" cm="1">
        <f t="array" ref="BG3:BG6">_xlfn._xlws.FILTER(BE2:BE86,BD2:BD86=BF3)</f>
        <v>bumpstop.spline</v>
      </c>
      <c r="BJ3" s="103"/>
      <c r="BK3" s="103"/>
      <c r="BL3" s="103"/>
      <c r="BM3" s="103"/>
      <c r="BN3" s="103"/>
      <c r="BO3" s="103"/>
      <c r="BP3" s="103"/>
      <c r="BQ3" s="103"/>
      <c r="BR3" s="103"/>
      <c r="BS3" s="103"/>
      <c r="BT3" s="103"/>
      <c r="BU3" s="103"/>
      <c r="BV3" s="103"/>
      <c r="BW3" s="103"/>
      <c r="BX3"/>
      <c r="BY3"/>
      <c r="CI3" s="103"/>
      <c r="CJ3" s="103"/>
      <c r="CK3" s="103"/>
      <c r="CL3" s="103"/>
      <c r="CM3" s="103"/>
      <c r="CN3" s="103"/>
      <c r="CO3" s="103"/>
      <c r="CP3" s="103"/>
      <c r="CQ3" s="103"/>
      <c r="CR3" s="103"/>
      <c r="CS3" s="103"/>
      <c r="CT3" s="103"/>
      <c r="CU3" s="103"/>
      <c r="CV3" s="103"/>
      <c r="CW3"/>
      <c r="CX3"/>
      <c r="DH3"/>
      <c r="DI3"/>
      <c r="DJ3"/>
      <c r="DK3"/>
      <c r="DN3"/>
      <c r="DO3"/>
      <c r="DP3"/>
      <c r="DQ3"/>
      <c r="DT3"/>
      <c r="DU3"/>
      <c r="DV3"/>
      <c r="DW3"/>
      <c r="EF3"/>
      <c r="EG3"/>
      <c r="EH3"/>
      <c r="EI3"/>
      <c r="EL3"/>
      <c r="EM3"/>
      <c r="EN3"/>
      <c r="EO3"/>
      <c r="ER3"/>
      <c r="ES3"/>
      <c r="ET3"/>
      <c r="EU3"/>
    </row>
    <row r="4" spans="1:151" s="2" customFormat="1" ht="32" customHeight="1" x14ac:dyDescent="1">
      <c r="A4" s="120" t="s">
        <v>407</v>
      </c>
      <c r="B4" s="106" t="s">
        <v>415</v>
      </c>
      <c r="AW4" s="2" t="s">
        <v>394</v>
      </c>
      <c r="AY4" s="2" t="s">
        <v>393</v>
      </c>
      <c r="AZ4" s="2" t="s">
        <v>410</v>
      </c>
      <c r="BA4" s="2" t="s">
        <v>170</v>
      </c>
      <c r="BC4" s="2" t="str">
        <v>PT16</v>
      </c>
      <c r="BD4" s="2" t="s">
        <v>393</v>
      </c>
      <c r="BE4" s="2" t="s">
        <v>178</v>
      </c>
      <c r="BG4" s="2" t="str">
        <v>dal_ride_damper.spline</v>
      </c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102"/>
      <c r="BX4"/>
      <c r="BY4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/>
      <c r="CX4"/>
      <c r="DH4"/>
      <c r="DI4"/>
      <c r="DJ4"/>
      <c r="DK4"/>
      <c r="DN4"/>
      <c r="DO4"/>
      <c r="DP4"/>
      <c r="DQ4"/>
      <c r="DT4"/>
      <c r="DU4"/>
      <c r="DV4"/>
      <c r="DW4"/>
      <c r="EF4"/>
      <c r="EG4"/>
      <c r="EH4"/>
      <c r="EI4"/>
      <c r="EL4"/>
      <c r="EM4"/>
      <c r="EN4"/>
      <c r="EO4"/>
      <c r="ER4"/>
      <c r="ES4"/>
      <c r="ET4"/>
      <c r="EU4"/>
    </row>
    <row r="5" spans="1:151" s="2" customFormat="1" ht="32" customHeight="1" x14ac:dyDescent="1">
      <c r="A5" s="120" t="s">
        <v>408</v>
      </c>
      <c r="B5" s="106" t="s">
        <v>177</v>
      </c>
      <c r="AW5" s="2" t="s">
        <v>395</v>
      </c>
      <c r="AY5" s="2" t="s">
        <v>393</v>
      </c>
      <c r="AZ5" s="2" t="s">
        <v>411</v>
      </c>
      <c r="BA5" s="2" t="s">
        <v>197</v>
      </c>
      <c r="BC5" s="2" t="str">
        <v>PT1</v>
      </c>
      <c r="BD5" s="2" t="s">
        <v>393</v>
      </c>
      <c r="BE5" s="2" t="s">
        <v>179</v>
      </c>
      <c r="BG5" s="2" t="str">
        <v>ride_spring.spline</v>
      </c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/>
      <c r="BY5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/>
      <c r="CX5"/>
      <c r="DH5"/>
      <c r="DI5"/>
      <c r="DJ5"/>
      <c r="DK5"/>
      <c r="DN5"/>
      <c r="DO5"/>
      <c r="DP5"/>
      <c r="DQ5"/>
      <c r="DT5"/>
      <c r="DU5"/>
      <c r="DV5"/>
      <c r="DW5"/>
      <c r="EF5"/>
      <c r="EG5"/>
      <c r="EH5"/>
      <c r="EI5"/>
      <c r="EL5"/>
      <c r="EM5"/>
      <c r="EN5"/>
      <c r="EO5"/>
      <c r="ER5"/>
      <c r="ES5"/>
      <c r="ET5"/>
      <c r="EU5"/>
    </row>
    <row r="6" spans="1:151" s="2" customFormat="1" ht="32" customHeight="1" x14ac:dyDescent="1">
      <c r="A6" s="121" t="s">
        <v>31</v>
      </c>
      <c r="B6" s="113" t="s">
        <v>482</v>
      </c>
      <c r="AW6" s="2" t="s">
        <v>396</v>
      </c>
      <c r="AY6" s="2" t="s">
        <v>393</v>
      </c>
      <c r="AZ6" s="2" t="s">
        <v>411</v>
      </c>
      <c r="BA6" s="2" t="s">
        <v>198</v>
      </c>
      <c r="BC6" s="2" t="str">
        <v>PT1</v>
      </c>
      <c r="BD6" s="2" t="s">
        <v>393</v>
      </c>
      <c r="BE6" s="2" t="s">
        <v>182</v>
      </c>
      <c r="BG6" s="2" t="str">
        <v>reboundstop.spline</v>
      </c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/>
      <c r="BY6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  <c r="CW6"/>
      <c r="CX6"/>
      <c r="DH6"/>
      <c r="DI6"/>
      <c r="DJ6"/>
      <c r="DK6"/>
      <c r="DN6"/>
      <c r="DO6"/>
      <c r="DP6"/>
      <c r="DQ6"/>
      <c r="DT6"/>
      <c r="DU6"/>
      <c r="DV6"/>
      <c r="DW6"/>
      <c r="EF6"/>
      <c r="EG6"/>
      <c r="EH6"/>
      <c r="EI6"/>
      <c r="EL6"/>
      <c r="EM6"/>
      <c r="EN6"/>
      <c r="EO6"/>
      <c r="ER6"/>
      <c r="ES6"/>
      <c r="ET6"/>
      <c r="EU6"/>
    </row>
    <row r="7" spans="1:151" s="2" customFormat="1" ht="32" customHeight="1" x14ac:dyDescent="1">
      <c r="A7" s="122" t="s">
        <v>34</v>
      </c>
      <c r="B7" s="114" t="s">
        <v>483</v>
      </c>
      <c r="AW7" s="2" t="s">
        <v>397</v>
      </c>
      <c r="AY7" s="2" t="s">
        <v>393</v>
      </c>
      <c r="AZ7" s="2" t="s">
        <v>412</v>
      </c>
      <c r="BA7" s="2" t="s">
        <v>199</v>
      </c>
      <c r="BC7" s="2" t="str">
        <v>PT10</v>
      </c>
      <c r="BD7" s="2" t="s">
        <v>394</v>
      </c>
      <c r="BE7" s="2" t="s">
        <v>177</v>
      </c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/>
      <c r="BY7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  <c r="CW7"/>
      <c r="CX7"/>
      <c r="DH7"/>
      <c r="DI7"/>
      <c r="DJ7"/>
      <c r="DK7"/>
      <c r="DN7"/>
      <c r="DO7"/>
      <c r="DP7"/>
      <c r="DQ7"/>
      <c r="DT7"/>
      <c r="DU7"/>
      <c r="DV7"/>
      <c r="DW7"/>
      <c r="EF7"/>
      <c r="EG7"/>
      <c r="EH7"/>
      <c r="EI7"/>
      <c r="EL7"/>
      <c r="EM7"/>
      <c r="EN7"/>
      <c r="EO7"/>
      <c r="ER7"/>
      <c r="ES7"/>
      <c r="ET7"/>
      <c r="EU7"/>
    </row>
    <row r="8" spans="1:151" s="2" customFormat="1" ht="32" customHeight="1" x14ac:dyDescent="1">
      <c r="A8" s="123" t="s">
        <v>154</v>
      </c>
      <c r="B8" s="115"/>
      <c r="AW8" s="2" t="s">
        <v>398</v>
      </c>
      <c r="AY8" s="2" t="s">
        <v>393</v>
      </c>
      <c r="AZ8" s="2" t="s">
        <v>412</v>
      </c>
      <c r="BA8" s="2" t="s">
        <v>200</v>
      </c>
      <c r="BC8" s="2" t="str">
        <v>PT10</v>
      </c>
      <c r="BD8" s="2" t="s">
        <v>394</v>
      </c>
      <c r="BE8" s="2" t="s">
        <v>178</v>
      </c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/>
      <c r="BY8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  <c r="CW8"/>
      <c r="CX8"/>
      <c r="DH8"/>
      <c r="DI8"/>
      <c r="DJ8"/>
      <c r="DK8"/>
      <c r="DN8"/>
      <c r="DO8"/>
      <c r="DP8"/>
      <c r="DQ8"/>
      <c r="DT8"/>
      <c r="DU8"/>
      <c r="DV8"/>
      <c r="DW8"/>
      <c r="EF8"/>
      <c r="EG8"/>
      <c r="EH8"/>
      <c r="EI8"/>
      <c r="EL8"/>
      <c r="EM8"/>
      <c r="EN8"/>
      <c r="EO8"/>
      <c r="ER8"/>
      <c r="ES8"/>
      <c r="ET8"/>
      <c r="EU8"/>
    </row>
    <row r="9" spans="1:151" s="2" customFormat="1" ht="32" customHeight="1" x14ac:dyDescent="1">
      <c r="A9" s="124" t="s">
        <v>155</v>
      </c>
      <c r="B9" s="116"/>
      <c r="AW9" s="2" t="s">
        <v>399</v>
      </c>
      <c r="AY9" s="2" t="s">
        <v>393</v>
      </c>
      <c r="AZ9" s="2" t="s">
        <v>413</v>
      </c>
      <c r="BA9" s="2" t="s">
        <v>203</v>
      </c>
      <c r="BC9" s="2" t="str">
        <v>PT100</v>
      </c>
      <c r="BD9" s="2" t="s">
        <v>394</v>
      </c>
      <c r="BE9" s="2" t="s">
        <v>179</v>
      </c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/>
      <c r="BY9"/>
      <c r="CI9"/>
      <c r="CJ9"/>
      <c r="CK9"/>
      <c r="CL9"/>
      <c r="CO9" s="102"/>
      <c r="CP9" s="102"/>
      <c r="CQ9" s="102"/>
      <c r="CR9" s="102"/>
      <c r="CS9" s="102"/>
      <c r="CT9" s="102"/>
      <c r="CU9" s="102"/>
      <c r="CV9" s="102"/>
      <c r="CW9"/>
      <c r="CX9"/>
      <c r="DH9"/>
      <c r="DI9"/>
      <c r="DJ9"/>
      <c r="DK9"/>
      <c r="DN9"/>
      <c r="DO9"/>
      <c r="DP9"/>
      <c r="DQ9"/>
      <c r="DT9"/>
      <c r="DU9"/>
      <c r="DV9"/>
      <c r="DW9"/>
      <c r="EF9"/>
      <c r="EG9"/>
      <c r="EH9"/>
      <c r="EI9"/>
      <c r="EL9"/>
      <c r="EM9"/>
      <c r="EN9"/>
      <c r="EO9"/>
      <c r="ER9"/>
      <c r="ES9"/>
      <c r="ET9"/>
      <c r="EU9"/>
    </row>
    <row r="10" spans="1:151" s="2" customFormat="1" ht="32" customHeight="1" x14ac:dyDescent="1">
      <c r="AW10" s="2" t="s">
        <v>402</v>
      </c>
      <c r="AY10" s="2" t="s">
        <v>393</v>
      </c>
      <c r="AZ10" s="2" t="s">
        <v>413</v>
      </c>
      <c r="BA10" s="2" t="s">
        <v>204</v>
      </c>
      <c r="BC10" s="2" t="str">
        <v>PT100</v>
      </c>
      <c r="BD10" s="2" t="s">
        <v>394</v>
      </c>
      <c r="BE10" s="2" t="s">
        <v>182</v>
      </c>
      <c r="BJ10" s="102"/>
      <c r="BK10" s="102"/>
      <c r="BL10" s="102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2"/>
      <c r="BX10"/>
      <c r="BY10"/>
      <c r="CI10"/>
      <c r="CJ10"/>
      <c r="CK10"/>
      <c r="CL10"/>
      <c r="CO10" s="102"/>
      <c r="CP10" s="102"/>
      <c r="CQ10" s="102"/>
      <c r="CR10" s="102"/>
      <c r="CS10" s="102"/>
      <c r="CT10" s="102"/>
      <c r="CU10" s="102"/>
      <c r="CV10" s="102"/>
      <c r="CW10"/>
      <c r="CX10"/>
      <c r="DH10"/>
      <c r="DI10"/>
      <c r="DJ10"/>
      <c r="DK10"/>
      <c r="DN10"/>
      <c r="DO10"/>
      <c r="DP10"/>
      <c r="DQ10"/>
      <c r="DT10"/>
      <c r="DU10"/>
      <c r="DV10"/>
      <c r="DW10"/>
      <c r="EF10"/>
      <c r="EG10"/>
      <c r="EH10"/>
      <c r="EI10"/>
      <c r="EL10"/>
      <c r="EM10"/>
      <c r="EN10"/>
      <c r="EO10"/>
      <c r="ER10"/>
      <c r="ES10"/>
      <c r="ET10"/>
      <c r="EU10"/>
    </row>
    <row r="11" spans="1:151" s="2" customFormat="1" ht="32" customHeight="1" x14ac:dyDescent="1">
      <c r="AW11" s="2" t="s">
        <v>404</v>
      </c>
      <c r="AY11" s="2" t="s">
        <v>393</v>
      </c>
      <c r="AZ11" s="2" t="s">
        <v>414</v>
      </c>
      <c r="BA11" s="2" t="s">
        <v>171</v>
      </c>
      <c r="BC11" s="2" t="str">
        <v>PT15</v>
      </c>
      <c r="BD11" s="2" t="s">
        <v>395</v>
      </c>
      <c r="BE11" s="2" t="s">
        <v>160</v>
      </c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/>
      <c r="BY11"/>
      <c r="CI11"/>
      <c r="CJ11"/>
      <c r="CK11"/>
      <c r="CL11"/>
      <c r="CO11" s="102"/>
      <c r="CP11" s="102"/>
      <c r="CQ11" s="102"/>
      <c r="CR11" s="102"/>
      <c r="CS11" s="102"/>
      <c r="CT11" s="102"/>
      <c r="CU11" s="102"/>
      <c r="CV11" s="102"/>
      <c r="CW11"/>
      <c r="CX11"/>
      <c r="DH11"/>
      <c r="DI11"/>
      <c r="DJ11"/>
      <c r="DK11"/>
      <c r="DN11"/>
      <c r="DO11"/>
      <c r="DP11"/>
      <c r="DQ11"/>
      <c r="DT11"/>
      <c r="DU11"/>
      <c r="DV11"/>
      <c r="DW11"/>
      <c r="EF11"/>
      <c r="EG11"/>
      <c r="EH11"/>
      <c r="EI11"/>
      <c r="EL11"/>
      <c r="EM11"/>
      <c r="EN11"/>
      <c r="EO11"/>
      <c r="ER11"/>
      <c r="ES11"/>
      <c r="ET11"/>
      <c r="EU11"/>
    </row>
    <row r="12" spans="1:151" s="2" customFormat="1" ht="32" customHeight="1" x14ac:dyDescent="1">
      <c r="AY12" s="2" t="s">
        <v>393</v>
      </c>
      <c r="AZ12" s="2" t="s">
        <v>414</v>
      </c>
      <c r="BA12" s="2" t="s">
        <v>172</v>
      </c>
      <c r="BC12" s="2" t="str">
        <v>PT15</v>
      </c>
      <c r="BD12" s="101" t="s">
        <v>399</v>
      </c>
      <c r="BE12" s="2" t="s">
        <v>162</v>
      </c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/>
      <c r="BY12"/>
      <c r="CI12"/>
      <c r="CJ12"/>
      <c r="CK12"/>
      <c r="CL12"/>
      <c r="CO12" s="102"/>
      <c r="CP12" s="102"/>
      <c r="CQ12" s="102"/>
      <c r="CR12" s="102"/>
      <c r="CS12" s="102"/>
      <c r="CT12" s="102"/>
      <c r="CU12" s="102"/>
      <c r="CV12" s="102"/>
      <c r="CW12"/>
      <c r="CX12"/>
      <c r="DH12"/>
      <c r="DI12"/>
      <c r="DJ12"/>
      <c r="DK12"/>
      <c r="DN12"/>
      <c r="DO12"/>
      <c r="DP12"/>
      <c r="DQ12"/>
      <c r="DT12"/>
      <c r="DU12"/>
      <c r="DV12"/>
      <c r="DW12"/>
      <c r="EF12"/>
      <c r="EG12"/>
      <c r="EH12"/>
      <c r="EI12"/>
      <c r="EL12"/>
      <c r="EM12"/>
      <c r="EN12"/>
      <c r="EO12"/>
      <c r="ER12"/>
      <c r="ES12"/>
      <c r="ET12"/>
      <c r="EU12"/>
    </row>
    <row r="13" spans="1:151" s="2" customFormat="1" ht="32" customHeight="1" x14ac:dyDescent="1">
      <c r="AY13" s="2" t="s">
        <v>393</v>
      </c>
      <c r="AZ13" s="2" t="s">
        <v>415</v>
      </c>
      <c r="BA13" s="2" t="s">
        <v>201</v>
      </c>
      <c r="BC13" s="2" t="str">
        <v>PT2</v>
      </c>
      <c r="BD13" s="101" t="s">
        <v>399</v>
      </c>
      <c r="BE13" s="2" t="s">
        <v>161</v>
      </c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/>
      <c r="BY13"/>
      <c r="CI13"/>
      <c r="CJ13"/>
      <c r="CK13"/>
      <c r="CL13"/>
      <c r="CO13"/>
      <c r="CP13"/>
      <c r="CQ13"/>
      <c r="CR13"/>
      <c r="CU13" s="102"/>
      <c r="CV13" s="102"/>
      <c r="CW13"/>
      <c r="CX13"/>
      <c r="DH13"/>
      <c r="DI13"/>
      <c r="DJ13"/>
      <c r="DK13"/>
      <c r="DN13"/>
      <c r="DO13"/>
      <c r="DP13"/>
      <c r="DQ13"/>
      <c r="DT13"/>
      <c r="DU13"/>
      <c r="DV13"/>
      <c r="DW13"/>
      <c r="EF13"/>
      <c r="EG13"/>
      <c r="EH13"/>
      <c r="EI13"/>
      <c r="EL13"/>
      <c r="EM13"/>
      <c r="EN13"/>
      <c r="EO13"/>
      <c r="ER13"/>
      <c r="ES13"/>
      <c r="ET13"/>
      <c r="EU13"/>
    </row>
    <row r="14" spans="1:151" s="2" customFormat="1" ht="32" customHeight="1" x14ac:dyDescent="1">
      <c r="AY14" s="2" t="s">
        <v>393</v>
      </c>
      <c r="AZ14" s="2" t="s">
        <v>415</v>
      </c>
      <c r="BA14" s="2" t="s">
        <v>202</v>
      </c>
      <c r="BC14" s="2" t="str">
        <v>PT2</v>
      </c>
      <c r="BD14" s="101" t="s">
        <v>399</v>
      </c>
      <c r="BE14" s="2" t="s">
        <v>163</v>
      </c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/>
      <c r="BY14"/>
      <c r="CI14"/>
      <c r="CJ14"/>
      <c r="CK14"/>
      <c r="CL14"/>
      <c r="CO14"/>
      <c r="CP14"/>
      <c r="CQ14"/>
      <c r="CR14"/>
      <c r="CU14" s="102"/>
      <c r="CV14" s="102"/>
      <c r="CW14"/>
      <c r="CX14"/>
      <c r="DH14"/>
      <c r="DI14"/>
      <c r="DJ14"/>
      <c r="DK14"/>
      <c r="DN14"/>
      <c r="DO14"/>
      <c r="DP14"/>
      <c r="DQ14"/>
      <c r="DT14"/>
      <c r="DU14"/>
      <c r="DV14"/>
      <c r="DW14"/>
      <c r="EF14"/>
      <c r="EG14"/>
      <c r="EH14"/>
      <c r="EI14"/>
      <c r="EL14"/>
      <c r="EM14"/>
      <c r="EN14"/>
      <c r="EO14"/>
      <c r="ER14"/>
      <c r="ES14"/>
      <c r="ET14"/>
      <c r="EU14"/>
    </row>
    <row r="15" spans="1:151" s="2" customFormat="1" ht="32" customHeight="1" x14ac:dyDescent="1">
      <c r="AY15" s="2" t="s">
        <v>393</v>
      </c>
      <c r="AZ15" s="2" t="s">
        <v>416</v>
      </c>
      <c r="BA15" s="2" t="s">
        <v>349</v>
      </c>
      <c r="BC15" s="2" t="str">
        <v>PT40</v>
      </c>
      <c r="BD15" s="101" t="s">
        <v>399</v>
      </c>
      <c r="BE15" s="2" t="s">
        <v>164</v>
      </c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/>
      <c r="BY15"/>
      <c r="CI15"/>
      <c r="CJ15"/>
      <c r="CK15"/>
      <c r="CL15"/>
      <c r="CO15"/>
      <c r="CP15"/>
      <c r="CQ15"/>
      <c r="CR15"/>
      <c r="CU15" s="102"/>
      <c r="CV15" s="102"/>
      <c r="CW15"/>
      <c r="CX15"/>
      <c r="DH15"/>
      <c r="DI15"/>
      <c r="DJ15"/>
      <c r="DK15"/>
      <c r="DN15"/>
      <c r="DO15"/>
      <c r="DP15"/>
      <c r="DQ15"/>
      <c r="DT15"/>
      <c r="DU15"/>
      <c r="DV15"/>
      <c r="DW15"/>
      <c r="EF15"/>
      <c r="EG15"/>
      <c r="EH15"/>
      <c r="EI15"/>
      <c r="EL15"/>
      <c r="EM15"/>
      <c r="EN15"/>
      <c r="EO15"/>
      <c r="ER15"/>
      <c r="ES15"/>
      <c r="ET15"/>
      <c r="EU15"/>
    </row>
    <row r="16" spans="1:151" s="2" customFormat="1" ht="32" customHeight="1" x14ac:dyDescent="1">
      <c r="AY16" s="2" t="s">
        <v>393</v>
      </c>
      <c r="AZ16" s="2" t="s">
        <v>416</v>
      </c>
      <c r="BA16" s="2" t="s">
        <v>350</v>
      </c>
      <c r="BC16" s="2" t="str">
        <v>PT40</v>
      </c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/>
      <c r="BY16"/>
      <c r="CI16"/>
      <c r="CJ16"/>
      <c r="CK16"/>
      <c r="CL16"/>
      <c r="CO16"/>
      <c r="CP16"/>
      <c r="CQ16"/>
      <c r="CR16"/>
      <c r="CU16" s="102"/>
      <c r="CV16" s="102"/>
      <c r="CW16"/>
      <c r="CX16"/>
      <c r="DH16"/>
      <c r="DI16"/>
      <c r="DJ16"/>
      <c r="DK16"/>
      <c r="DN16"/>
      <c r="DO16"/>
      <c r="DP16"/>
      <c r="DQ16"/>
      <c r="DT16"/>
      <c r="DU16"/>
      <c r="DV16"/>
      <c r="DW16"/>
      <c r="EF16"/>
      <c r="EG16"/>
      <c r="EH16"/>
      <c r="EI16"/>
      <c r="EL16"/>
      <c r="EM16"/>
      <c r="EN16"/>
      <c r="EO16"/>
      <c r="ER16"/>
      <c r="ES16"/>
      <c r="ET16"/>
      <c r="EU16"/>
    </row>
    <row r="17" spans="2:151" s="2" customFormat="1" ht="32" customHeight="1" x14ac:dyDescent="1">
      <c r="AY17" s="2" t="s">
        <v>393</v>
      </c>
      <c r="AZ17" s="2" t="s">
        <v>417</v>
      </c>
      <c r="BA17" s="2" t="s">
        <v>173</v>
      </c>
      <c r="BC17" s="2" t="str">
        <v>PT44</v>
      </c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/>
      <c r="BY17"/>
      <c r="CI17"/>
      <c r="CJ17"/>
      <c r="CK17"/>
      <c r="CL17"/>
      <c r="CO17"/>
      <c r="CP17"/>
      <c r="CQ17"/>
      <c r="CR17"/>
      <c r="CU17" s="102"/>
      <c r="CV17" s="102"/>
      <c r="CW17"/>
      <c r="CX17"/>
      <c r="DH17"/>
      <c r="DI17"/>
      <c r="DJ17"/>
      <c r="DK17"/>
      <c r="DN17"/>
      <c r="DO17"/>
      <c r="DP17"/>
      <c r="DQ17"/>
      <c r="DT17"/>
      <c r="DU17"/>
      <c r="DV17"/>
      <c r="DW17"/>
      <c r="EF17"/>
      <c r="EG17"/>
      <c r="EH17"/>
      <c r="EI17"/>
      <c r="EL17"/>
      <c r="EM17"/>
      <c r="EN17"/>
      <c r="EO17"/>
      <c r="ER17"/>
      <c r="ES17"/>
      <c r="ET17"/>
      <c r="EU17"/>
    </row>
    <row r="18" spans="2:151" s="2" customFormat="1" ht="32" customHeight="1" thickBot="1" x14ac:dyDescent="1.05">
      <c r="AY18" s="2" t="s">
        <v>393</v>
      </c>
      <c r="AZ18" s="2" t="s">
        <v>417</v>
      </c>
      <c r="BA18" s="2" t="s">
        <v>174</v>
      </c>
      <c r="BC18" s="2" t="str">
        <v>PT44</v>
      </c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/>
      <c r="BY18"/>
      <c r="CI18"/>
      <c r="CJ18"/>
      <c r="CK18"/>
      <c r="CL18"/>
      <c r="CO18"/>
      <c r="CP18"/>
      <c r="CQ18"/>
      <c r="CR18"/>
      <c r="CU18" s="102"/>
      <c r="CV18" s="102"/>
      <c r="CW18"/>
      <c r="CX18"/>
      <c r="DH18"/>
      <c r="DI18"/>
      <c r="DJ18"/>
      <c r="DK18"/>
      <c r="DN18"/>
      <c r="DO18"/>
      <c r="DP18"/>
      <c r="DQ18"/>
      <c r="DT18"/>
      <c r="DU18"/>
      <c r="DV18"/>
      <c r="DW18"/>
      <c r="EF18"/>
      <c r="EG18"/>
      <c r="EH18"/>
      <c r="EI18"/>
      <c r="EL18"/>
      <c r="EM18"/>
      <c r="EN18"/>
      <c r="EO18"/>
      <c r="ER18"/>
      <c r="ES18"/>
      <c r="ET18"/>
      <c r="EU18"/>
    </row>
    <row r="19" spans="2:151" s="2" customFormat="1" ht="32" customHeight="1" thickBot="1" x14ac:dyDescent="1.05">
      <c r="B19" s="21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P19" s="158" t="s">
        <v>157</v>
      </c>
      <c r="Q19" s="159"/>
      <c r="R19" s="159"/>
      <c r="S19" s="159"/>
      <c r="T19" s="159"/>
      <c r="U19" s="159"/>
      <c r="V19" s="159"/>
      <c r="W19" s="160"/>
      <c r="AA19" s="158" t="s">
        <v>158</v>
      </c>
      <c r="AB19" s="159"/>
      <c r="AC19" s="159"/>
      <c r="AD19" s="159"/>
      <c r="AE19" s="159"/>
      <c r="AF19" s="159"/>
      <c r="AG19" s="159"/>
      <c r="AH19" s="160"/>
      <c r="AL19" s="158" t="s">
        <v>159</v>
      </c>
      <c r="AM19" s="159"/>
      <c r="AN19" s="159"/>
      <c r="AO19" s="159"/>
      <c r="AP19" s="159"/>
      <c r="AQ19" s="159"/>
      <c r="AR19" s="159"/>
      <c r="AS19" s="160"/>
      <c r="AY19" s="2" t="s">
        <v>393</v>
      </c>
      <c r="AZ19" s="2" t="s">
        <v>418</v>
      </c>
      <c r="BA19" s="2" t="s">
        <v>175</v>
      </c>
      <c r="BC19" s="2" t="str">
        <v>PT5</v>
      </c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/>
      <c r="BY19"/>
      <c r="CI19"/>
      <c r="CJ19"/>
      <c r="CK19"/>
      <c r="CL19"/>
      <c r="CO19"/>
      <c r="CP19"/>
      <c r="CQ19"/>
      <c r="CR19"/>
      <c r="CU19" s="102"/>
      <c r="CV19" s="102"/>
      <c r="CW19"/>
      <c r="CX19"/>
      <c r="DH19"/>
      <c r="DI19"/>
      <c r="DJ19"/>
      <c r="DK19"/>
      <c r="DN19"/>
      <c r="DO19"/>
      <c r="DP19"/>
      <c r="DQ19"/>
      <c r="DT19"/>
      <c r="DU19"/>
      <c r="DV19"/>
      <c r="DW19"/>
      <c r="EF19"/>
      <c r="EG19"/>
      <c r="EH19"/>
      <c r="EI19"/>
      <c r="EL19"/>
      <c r="EM19"/>
      <c r="EN19"/>
      <c r="EO19"/>
      <c r="ER19"/>
      <c r="ES19"/>
      <c r="ET19"/>
      <c r="EU19"/>
    </row>
    <row r="20" spans="2:151" s="2" customFormat="1" ht="32" customHeight="1" x14ac:dyDescent="1">
      <c r="D20" s="105"/>
      <c r="AY20" s="2" t="s">
        <v>393</v>
      </c>
      <c r="AZ20" s="2" t="s">
        <v>418</v>
      </c>
      <c r="BA20" s="2" t="s">
        <v>176</v>
      </c>
      <c r="BC20" s="2" t="str">
        <v>PT5</v>
      </c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/>
      <c r="BY20"/>
      <c r="CI20"/>
      <c r="CJ20"/>
      <c r="CK20"/>
      <c r="CL20"/>
      <c r="CO20"/>
      <c r="CP20"/>
      <c r="CQ20"/>
      <c r="CR20"/>
      <c r="CU20" s="102"/>
      <c r="CV20" s="102"/>
      <c r="CW20"/>
      <c r="CX20"/>
      <c r="DH20"/>
      <c r="DI20"/>
      <c r="DJ20"/>
      <c r="DK20"/>
      <c r="DN20"/>
      <c r="DO20"/>
      <c r="DP20"/>
      <c r="DQ20"/>
      <c r="DT20"/>
      <c r="DU20"/>
      <c r="DV20"/>
      <c r="DW20"/>
      <c r="EF20"/>
      <c r="EG20"/>
      <c r="EH20"/>
      <c r="EI20"/>
      <c r="EL20"/>
      <c r="EM20"/>
      <c r="EN20"/>
      <c r="EO20"/>
      <c r="ER20"/>
      <c r="ES20"/>
      <c r="ET20"/>
      <c r="EU20"/>
    </row>
    <row r="21" spans="2:151" s="2" customFormat="1" ht="32" customHeight="1" x14ac:dyDescent="1">
      <c r="AY21" s="2" t="s">
        <v>393</v>
      </c>
      <c r="AZ21" s="2" t="s">
        <v>419</v>
      </c>
      <c r="BA21" s="2" t="s">
        <v>351</v>
      </c>
      <c r="BC21" s="2" t="str">
        <v>PT6</v>
      </c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/>
      <c r="BY21"/>
      <c r="CI21"/>
      <c r="CJ21"/>
      <c r="CK21"/>
      <c r="CL21"/>
      <c r="CO21"/>
      <c r="CP21"/>
      <c r="CQ21"/>
      <c r="CR21"/>
      <c r="CU21" s="102"/>
      <c r="CV21" s="102"/>
      <c r="CW21"/>
      <c r="CX21"/>
      <c r="DH21"/>
      <c r="DI21"/>
      <c r="DJ21"/>
      <c r="DK21"/>
      <c r="DN21"/>
      <c r="DO21"/>
      <c r="DP21"/>
      <c r="DQ21"/>
      <c r="DT21"/>
      <c r="DU21"/>
      <c r="DV21"/>
      <c r="DW21"/>
      <c r="EF21"/>
      <c r="EG21"/>
      <c r="EH21"/>
      <c r="EI21"/>
      <c r="EL21"/>
      <c r="EM21"/>
      <c r="EN21"/>
      <c r="EO21"/>
      <c r="ER21"/>
      <c r="ES21"/>
      <c r="ET21"/>
      <c r="EU21"/>
    </row>
    <row r="22" spans="2:151" s="2" customFormat="1" ht="32" customHeight="1" x14ac:dyDescent="1">
      <c r="AY22" s="2" t="s">
        <v>393</v>
      </c>
      <c r="AZ22" s="2" t="s">
        <v>419</v>
      </c>
      <c r="BA22" s="2" t="s">
        <v>352</v>
      </c>
      <c r="BC22" s="2" t="str">
        <v>PT6</v>
      </c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02"/>
      <c r="BU22" s="102"/>
      <c r="BV22" s="102"/>
      <c r="BW22" s="102"/>
      <c r="BX22"/>
      <c r="BY22"/>
      <c r="CI22"/>
      <c r="CJ22"/>
      <c r="CK22"/>
      <c r="CL22"/>
      <c r="CO22"/>
      <c r="CP22"/>
      <c r="CQ22"/>
      <c r="CR22"/>
      <c r="CU22" s="102"/>
      <c r="CV22" s="102"/>
      <c r="CW22"/>
      <c r="CX22"/>
      <c r="DH22"/>
      <c r="DI22"/>
      <c r="DJ22"/>
      <c r="DK22"/>
      <c r="DN22"/>
      <c r="DO22"/>
      <c r="DP22"/>
      <c r="DQ22"/>
      <c r="DT22"/>
      <c r="DU22"/>
      <c r="DV22"/>
      <c r="DW22"/>
      <c r="EF22"/>
      <c r="EG22"/>
      <c r="EH22"/>
      <c r="EI22"/>
      <c r="EL22"/>
      <c r="EM22"/>
      <c r="EN22"/>
      <c r="EO22"/>
      <c r="ER22"/>
      <c r="ES22"/>
      <c r="ET22"/>
      <c r="EU22"/>
    </row>
    <row r="23" spans="2:151" s="2" customFormat="1" ht="32" customHeight="1" x14ac:dyDescent="1">
      <c r="AY23" s="2" t="s">
        <v>393</v>
      </c>
      <c r="AZ23" s="2" t="s">
        <v>420</v>
      </c>
      <c r="BA23" s="2" t="s">
        <v>353</v>
      </c>
      <c r="BC23" s="2" t="str">
        <v>PT7</v>
      </c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/>
      <c r="BY23"/>
      <c r="CI23"/>
      <c r="CJ23"/>
      <c r="CK23"/>
      <c r="CL23"/>
      <c r="CO23"/>
      <c r="CP23"/>
      <c r="CQ23"/>
      <c r="CR23"/>
      <c r="CU23" s="102"/>
      <c r="CV23" s="102"/>
      <c r="CW23"/>
      <c r="CX23"/>
      <c r="DH23"/>
      <c r="DI23"/>
      <c r="DJ23"/>
      <c r="DK23"/>
      <c r="DN23"/>
      <c r="DO23"/>
      <c r="DP23"/>
      <c r="DQ23"/>
      <c r="DT23"/>
      <c r="DU23"/>
      <c r="DV23"/>
      <c r="DW23"/>
      <c r="EF23"/>
      <c r="EG23"/>
      <c r="EH23"/>
      <c r="EI23"/>
      <c r="EL23"/>
      <c r="EM23"/>
      <c r="EN23"/>
      <c r="EO23"/>
      <c r="ER23"/>
      <c r="ES23"/>
      <c r="ET23"/>
      <c r="EU23"/>
    </row>
    <row r="24" spans="2:151" s="2" customFormat="1" ht="32" customHeight="1" x14ac:dyDescent="1">
      <c r="AY24" s="2" t="s">
        <v>393</v>
      </c>
      <c r="AZ24" s="2" t="s">
        <v>420</v>
      </c>
      <c r="BA24" s="2" t="s">
        <v>354</v>
      </c>
      <c r="BC24" s="2" t="str">
        <v>PT7</v>
      </c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/>
      <c r="BY24"/>
      <c r="CI24"/>
      <c r="CJ24"/>
      <c r="CK24"/>
      <c r="CL24"/>
      <c r="CO24"/>
      <c r="CP24"/>
      <c r="CQ24"/>
      <c r="CR24"/>
      <c r="CU24" s="102"/>
      <c r="CV24" s="102"/>
      <c r="CW24"/>
      <c r="CX24"/>
      <c r="DH24"/>
      <c r="DI24"/>
      <c r="DJ24"/>
      <c r="DK24"/>
      <c r="DN24"/>
      <c r="DO24"/>
      <c r="DP24"/>
      <c r="DQ24"/>
      <c r="DT24"/>
      <c r="DU24"/>
      <c r="DV24"/>
      <c r="DW24"/>
      <c r="EF24"/>
      <c r="EG24"/>
      <c r="EH24"/>
      <c r="EI24"/>
      <c r="EL24"/>
      <c r="EM24"/>
      <c r="EN24"/>
      <c r="EO24"/>
      <c r="ER24"/>
      <c r="ES24"/>
      <c r="ET24"/>
      <c r="EU24"/>
    </row>
    <row r="25" spans="2:151" s="2" customFormat="1" ht="32" customHeight="1" x14ac:dyDescent="1">
      <c r="AY25" s="2" t="s">
        <v>394</v>
      </c>
      <c r="AZ25" s="2" t="s">
        <v>411</v>
      </c>
      <c r="BA25" s="2" t="s">
        <v>197</v>
      </c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/>
      <c r="BY25"/>
      <c r="CI25"/>
      <c r="CJ25"/>
      <c r="CK25"/>
      <c r="CL25"/>
      <c r="CO25"/>
      <c r="CP25"/>
      <c r="CQ25"/>
      <c r="CR25"/>
      <c r="CU25" s="102"/>
      <c r="CV25" s="102"/>
      <c r="CW25"/>
      <c r="CX25"/>
      <c r="DH25"/>
      <c r="DI25"/>
      <c r="DJ25"/>
      <c r="DK25"/>
      <c r="DN25"/>
      <c r="DO25"/>
      <c r="DP25"/>
      <c r="DQ25"/>
      <c r="DT25"/>
      <c r="DU25"/>
      <c r="DV25"/>
      <c r="DW25"/>
      <c r="EF25"/>
      <c r="EG25"/>
      <c r="EH25"/>
      <c r="EI25"/>
      <c r="EL25"/>
      <c r="EM25"/>
      <c r="EN25"/>
      <c r="EO25"/>
      <c r="ER25"/>
      <c r="ES25"/>
      <c r="ET25"/>
      <c r="EU25"/>
    </row>
    <row r="26" spans="2:151" s="2" customFormat="1" ht="32" customHeight="1" x14ac:dyDescent="1">
      <c r="AY26" s="2" t="s">
        <v>394</v>
      </c>
      <c r="AZ26" s="2" t="s">
        <v>411</v>
      </c>
      <c r="BA26" s="2" t="s">
        <v>198</v>
      </c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/>
      <c r="BY26"/>
      <c r="CI26"/>
      <c r="CJ26"/>
      <c r="CK26"/>
      <c r="CL26"/>
      <c r="CO26"/>
      <c r="CP26"/>
      <c r="CQ26"/>
      <c r="CR26"/>
      <c r="CU26" s="102"/>
      <c r="CV26" s="102"/>
      <c r="CW26"/>
      <c r="CX26"/>
      <c r="DH26"/>
      <c r="DI26"/>
      <c r="DJ26"/>
      <c r="DK26"/>
      <c r="DN26"/>
      <c r="DO26"/>
      <c r="DP26"/>
      <c r="DQ26"/>
      <c r="DT26"/>
      <c r="DU26"/>
      <c r="DV26"/>
      <c r="DW26"/>
      <c r="EF26"/>
      <c r="EG26"/>
      <c r="EH26"/>
      <c r="EI26"/>
      <c r="EL26"/>
      <c r="EM26"/>
      <c r="EN26"/>
      <c r="EO26"/>
      <c r="ER26"/>
      <c r="ES26"/>
      <c r="ET26"/>
      <c r="EU26"/>
    </row>
    <row r="27" spans="2:151" s="2" customFormat="1" ht="32" customHeight="1" x14ac:dyDescent="1">
      <c r="AY27" s="2" t="s">
        <v>394</v>
      </c>
      <c r="AZ27" s="2" t="s">
        <v>415</v>
      </c>
      <c r="BA27" s="2" t="s">
        <v>201</v>
      </c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/>
      <c r="BY27"/>
      <c r="CI27"/>
      <c r="CJ27"/>
      <c r="CK27"/>
      <c r="CL27"/>
      <c r="CO27"/>
      <c r="CP27"/>
      <c r="CQ27"/>
      <c r="CR27"/>
      <c r="CU27" s="102"/>
      <c r="CV27" s="102"/>
      <c r="CW27"/>
      <c r="CX27"/>
      <c r="DH27"/>
      <c r="DI27"/>
      <c r="DJ27"/>
      <c r="DK27"/>
      <c r="DN27"/>
      <c r="DO27"/>
      <c r="DP27"/>
      <c r="DQ27"/>
      <c r="DT27"/>
      <c r="DU27"/>
      <c r="DV27"/>
      <c r="DW27"/>
      <c r="EF27"/>
      <c r="EG27"/>
      <c r="EH27"/>
      <c r="EI27"/>
      <c r="EL27"/>
      <c r="EM27"/>
      <c r="EN27"/>
      <c r="EO27"/>
      <c r="ER27"/>
      <c r="ES27"/>
      <c r="ET27"/>
      <c r="EU27"/>
    </row>
    <row r="28" spans="2:151" s="2" customFormat="1" ht="32" customHeight="1" x14ac:dyDescent="1">
      <c r="AY28" s="2" t="s">
        <v>394</v>
      </c>
      <c r="AZ28" s="2" t="s">
        <v>415</v>
      </c>
      <c r="BA28" s="2" t="s">
        <v>202</v>
      </c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/>
      <c r="BY28"/>
      <c r="CI28"/>
      <c r="CJ28"/>
      <c r="CK28"/>
      <c r="CL28"/>
      <c r="CO28"/>
      <c r="CP28"/>
      <c r="CQ28"/>
      <c r="CR28"/>
      <c r="CU28" s="102"/>
      <c r="CV28" s="102"/>
      <c r="CW28"/>
      <c r="CX28"/>
      <c r="DH28"/>
      <c r="DI28"/>
      <c r="DJ28"/>
      <c r="DK28"/>
      <c r="DN28"/>
      <c r="DO28"/>
      <c r="DP28"/>
      <c r="DQ28"/>
      <c r="DT28"/>
      <c r="DU28"/>
      <c r="DV28"/>
      <c r="DW28"/>
      <c r="EF28"/>
      <c r="EG28"/>
      <c r="EH28"/>
      <c r="EI28"/>
      <c r="EL28"/>
      <c r="EM28"/>
      <c r="EN28"/>
      <c r="EO28"/>
      <c r="ER28"/>
      <c r="ES28"/>
      <c r="ET28"/>
      <c r="EU28"/>
    </row>
    <row r="29" spans="2:151" s="2" customFormat="1" ht="32" customHeight="1" x14ac:dyDescent="1">
      <c r="AY29" s="2" t="s">
        <v>394</v>
      </c>
      <c r="AZ29" s="2" t="s">
        <v>419</v>
      </c>
      <c r="BA29" s="2" t="s">
        <v>351</v>
      </c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/>
      <c r="BY29"/>
      <c r="CI29"/>
      <c r="CJ29"/>
      <c r="CK29"/>
      <c r="CL29"/>
      <c r="CO29"/>
      <c r="CP29"/>
      <c r="CQ29"/>
      <c r="CR29"/>
      <c r="CU29" s="102"/>
      <c r="CV29" s="102"/>
      <c r="CW29"/>
      <c r="CX29"/>
      <c r="DH29"/>
      <c r="DI29"/>
      <c r="DJ29"/>
      <c r="DK29"/>
      <c r="DN29"/>
      <c r="DO29"/>
      <c r="DP29"/>
      <c r="DQ29"/>
      <c r="DT29"/>
      <c r="DU29"/>
      <c r="DV29"/>
      <c r="DW29"/>
      <c r="EF29"/>
      <c r="EG29"/>
      <c r="EH29"/>
      <c r="EI29"/>
      <c r="EL29"/>
      <c r="EM29"/>
      <c r="EN29"/>
      <c r="EO29"/>
      <c r="ER29"/>
      <c r="ES29"/>
      <c r="ET29"/>
      <c r="EU29"/>
    </row>
    <row r="30" spans="2:151" s="2" customFormat="1" ht="32" customHeight="1" x14ac:dyDescent="1">
      <c r="AY30" s="2" t="s">
        <v>394</v>
      </c>
      <c r="AZ30" s="2" t="s">
        <v>419</v>
      </c>
      <c r="BA30" s="2" t="s">
        <v>352</v>
      </c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/>
      <c r="BY30"/>
      <c r="CI30"/>
      <c r="CJ30"/>
      <c r="CK30"/>
      <c r="CL30"/>
      <c r="CO30"/>
      <c r="CP30"/>
      <c r="CQ30"/>
      <c r="CR30"/>
      <c r="CU30" s="102"/>
      <c r="CV30" s="102"/>
      <c r="CW30"/>
      <c r="CX30"/>
      <c r="DH30"/>
      <c r="DI30"/>
      <c r="DJ30"/>
      <c r="DK30"/>
      <c r="DN30"/>
      <c r="DO30"/>
      <c r="DP30"/>
      <c r="DQ30"/>
      <c r="DT30"/>
      <c r="DU30"/>
      <c r="DV30"/>
      <c r="DW30"/>
      <c r="EF30"/>
      <c r="EG30"/>
      <c r="EH30"/>
      <c r="EI30"/>
      <c r="EL30"/>
      <c r="EM30"/>
      <c r="EN30"/>
      <c r="EO30"/>
      <c r="ER30"/>
      <c r="ES30"/>
      <c r="ET30"/>
      <c r="EU30"/>
    </row>
    <row r="31" spans="2:151" s="2" customFormat="1" ht="32" customHeight="1" x14ac:dyDescent="1">
      <c r="AY31" s="2" t="s">
        <v>394</v>
      </c>
      <c r="AZ31" s="2" t="s">
        <v>420</v>
      </c>
      <c r="BA31" s="2" t="s">
        <v>353</v>
      </c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/>
      <c r="BY31"/>
      <c r="CI31"/>
      <c r="CJ31"/>
      <c r="CK31"/>
      <c r="CL31"/>
      <c r="CO31"/>
      <c r="CP31"/>
      <c r="CQ31"/>
      <c r="CR31"/>
      <c r="CU31" s="102"/>
      <c r="CV31" s="102"/>
      <c r="CW31"/>
      <c r="CX31"/>
      <c r="DH31"/>
      <c r="DI31"/>
      <c r="DJ31"/>
      <c r="DK31"/>
      <c r="DN31"/>
      <c r="DO31"/>
      <c r="DP31"/>
      <c r="DQ31"/>
      <c r="DT31"/>
      <c r="DU31"/>
      <c r="DV31"/>
      <c r="DW31"/>
      <c r="EF31"/>
      <c r="EG31"/>
      <c r="EH31"/>
      <c r="EI31"/>
      <c r="EL31"/>
      <c r="EM31"/>
      <c r="EN31"/>
      <c r="EO31"/>
      <c r="ER31"/>
      <c r="ES31"/>
      <c r="ET31"/>
      <c r="EU31"/>
    </row>
    <row r="32" spans="2:151" s="2" customFormat="1" ht="32" customHeight="1" x14ac:dyDescent="1">
      <c r="AY32" s="2" t="s">
        <v>394</v>
      </c>
      <c r="AZ32" s="2" t="s">
        <v>420</v>
      </c>
      <c r="BA32" s="2" t="s">
        <v>354</v>
      </c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/>
      <c r="BY32"/>
      <c r="CI32"/>
      <c r="CJ32"/>
      <c r="CK32"/>
      <c r="CL32"/>
      <c r="CO32"/>
      <c r="CP32"/>
      <c r="CQ32"/>
      <c r="CR32"/>
      <c r="CU32" s="102"/>
      <c r="CV32" s="102"/>
      <c r="CW32"/>
      <c r="CX32"/>
      <c r="DH32"/>
      <c r="DI32"/>
      <c r="DJ32"/>
      <c r="DK32"/>
      <c r="DN32"/>
      <c r="DO32"/>
      <c r="DP32"/>
      <c r="DQ32"/>
      <c r="DT32"/>
      <c r="DU32"/>
      <c r="DV32"/>
      <c r="DW32"/>
      <c r="EF32"/>
      <c r="EG32"/>
      <c r="EH32"/>
      <c r="EI32"/>
      <c r="EL32"/>
      <c r="EM32"/>
      <c r="EN32"/>
      <c r="EO32"/>
      <c r="ER32"/>
      <c r="ES32"/>
      <c r="ET32"/>
      <c r="EU32"/>
    </row>
    <row r="33" spans="15:151" s="2" customFormat="1" ht="32" customHeight="1" x14ac:dyDescent="1">
      <c r="AY33" s="2" t="s">
        <v>394</v>
      </c>
      <c r="AZ33" s="2" t="s">
        <v>421</v>
      </c>
      <c r="BA33" s="2" t="s">
        <v>355</v>
      </c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/>
      <c r="BY33"/>
      <c r="CI33"/>
      <c r="CJ33"/>
      <c r="CK33"/>
      <c r="CL33"/>
      <c r="CO33"/>
      <c r="CP33"/>
      <c r="CQ33"/>
      <c r="CR33"/>
      <c r="CU33" s="102"/>
      <c r="CV33" s="102"/>
      <c r="CW33"/>
      <c r="CX33"/>
      <c r="DH33"/>
      <c r="DI33"/>
      <c r="DJ33"/>
      <c r="DK33"/>
      <c r="DN33"/>
      <c r="DO33"/>
      <c r="DP33"/>
      <c r="DQ33"/>
      <c r="DT33"/>
      <c r="DU33"/>
      <c r="DV33"/>
      <c r="DW33"/>
      <c r="EF33"/>
      <c r="EG33"/>
      <c r="EH33"/>
      <c r="EI33"/>
      <c r="EL33"/>
      <c r="EM33"/>
      <c r="EN33"/>
      <c r="EO33"/>
      <c r="ER33"/>
      <c r="ES33"/>
      <c r="ET33"/>
      <c r="EU33"/>
    </row>
    <row r="34" spans="15:151" s="2" customFormat="1" ht="32" customHeight="1" x14ac:dyDescent="1">
      <c r="AY34" s="2" t="s">
        <v>394</v>
      </c>
      <c r="AZ34" s="2" t="s">
        <v>421</v>
      </c>
      <c r="BA34" s="2" t="s">
        <v>356</v>
      </c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/>
      <c r="BY34"/>
      <c r="CI34"/>
      <c r="CJ34"/>
      <c r="CK34"/>
      <c r="CL34"/>
      <c r="CO34"/>
      <c r="CP34"/>
      <c r="CQ34"/>
      <c r="CR34"/>
      <c r="CU34" s="102"/>
      <c r="CV34" s="102"/>
      <c r="CW34"/>
      <c r="CX34"/>
      <c r="DH34"/>
      <c r="DI34"/>
      <c r="DJ34"/>
      <c r="DK34"/>
      <c r="DN34"/>
      <c r="DO34"/>
      <c r="DP34"/>
      <c r="DQ34"/>
      <c r="DT34"/>
      <c r="DU34"/>
      <c r="DV34"/>
      <c r="DW34"/>
      <c r="EF34"/>
      <c r="EG34"/>
      <c r="EH34"/>
      <c r="EI34"/>
      <c r="EL34"/>
      <c r="EM34"/>
      <c r="EN34"/>
      <c r="EO34"/>
      <c r="ER34"/>
      <c r="ES34"/>
      <c r="ET34"/>
      <c r="EU34"/>
    </row>
    <row r="35" spans="15:151" s="2" customFormat="1" ht="32" customHeight="1" x14ac:dyDescent="1">
      <c r="O35" s="107" t="s">
        <v>436</v>
      </c>
      <c r="AY35" s="2" t="s">
        <v>394</v>
      </c>
      <c r="AZ35" s="2" t="s">
        <v>422</v>
      </c>
      <c r="BA35" s="2" t="s">
        <v>357</v>
      </c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/>
      <c r="BY35"/>
      <c r="CI35"/>
      <c r="CJ35"/>
      <c r="CK35"/>
      <c r="CL35"/>
      <c r="CO35"/>
      <c r="CP35"/>
      <c r="CQ35"/>
      <c r="CR35"/>
      <c r="CU35" s="102"/>
      <c r="CV35" s="102"/>
      <c r="CW35"/>
      <c r="CX35"/>
      <c r="DH35"/>
      <c r="DI35"/>
      <c r="DJ35"/>
      <c r="DK35"/>
      <c r="DN35"/>
      <c r="DO35"/>
      <c r="DP35"/>
      <c r="DQ35"/>
      <c r="DT35"/>
      <c r="DU35"/>
      <c r="DV35"/>
      <c r="DW35"/>
      <c r="EF35"/>
      <c r="EG35"/>
      <c r="EH35"/>
      <c r="EI35"/>
      <c r="EL35"/>
      <c r="EM35"/>
      <c r="EN35"/>
      <c r="EO35"/>
      <c r="ER35"/>
      <c r="ES35"/>
      <c r="ET35"/>
      <c r="EU35"/>
    </row>
    <row r="36" spans="15:151" s="2" customFormat="1" ht="32" customHeight="1" x14ac:dyDescent="1">
      <c r="AY36" s="2" t="s">
        <v>394</v>
      </c>
      <c r="AZ36" s="2" t="s">
        <v>422</v>
      </c>
      <c r="BA36" s="2" t="s">
        <v>358</v>
      </c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/>
      <c r="BY36"/>
      <c r="CI36"/>
      <c r="CJ36"/>
      <c r="CK36"/>
      <c r="CL36"/>
      <c r="CO36"/>
      <c r="CP36"/>
      <c r="CQ36"/>
      <c r="CR36"/>
      <c r="CU36" s="102"/>
      <c r="CV36" s="102"/>
      <c r="CW36"/>
      <c r="CX36"/>
      <c r="DH36"/>
      <c r="DI36"/>
      <c r="DJ36"/>
      <c r="DK36"/>
      <c r="DN36"/>
      <c r="DO36"/>
      <c r="DP36"/>
      <c r="DQ36"/>
      <c r="DT36"/>
      <c r="DU36"/>
      <c r="DV36"/>
      <c r="DW36"/>
      <c r="EF36"/>
      <c r="EG36"/>
      <c r="EH36"/>
      <c r="EI36"/>
      <c r="EL36"/>
      <c r="EM36"/>
      <c r="EN36"/>
      <c r="EO36"/>
      <c r="ER36"/>
      <c r="ES36"/>
      <c r="ET36"/>
      <c r="EU36"/>
    </row>
    <row r="37" spans="15:151" s="2" customFormat="1" ht="32" customHeight="1" x14ac:dyDescent="1">
      <c r="AY37" s="2" t="s">
        <v>394</v>
      </c>
      <c r="AZ37" s="2" t="s">
        <v>413</v>
      </c>
      <c r="BA37" s="2" t="s">
        <v>203</v>
      </c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/>
      <c r="BY37"/>
      <c r="CI37"/>
      <c r="CJ37"/>
      <c r="CK37"/>
      <c r="CL37"/>
      <c r="CO37"/>
      <c r="CP37"/>
      <c r="CQ37"/>
      <c r="CR37"/>
      <c r="CU37" s="102"/>
      <c r="CV37" s="102"/>
      <c r="CW37"/>
      <c r="CX37"/>
      <c r="DH37"/>
      <c r="DI37"/>
      <c r="DJ37"/>
      <c r="DK37"/>
      <c r="DN37"/>
      <c r="DO37"/>
      <c r="DP37"/>
      <c r="DQ37"/>
      <c r="DT37"/>
      <c r="DU37"/>
      <c r="DV37"/>
      <c r="DW37"/>
      <c r="EF37"/>
      <c r="EG37"/>
      <c r="EH37"/>
      <c r="EI37"/>
      <c r="EL37"/>
      <c r="EM37"/>
      <c r="EN37"/>
      <c r="EO37"/>
      <c r="ER37"/>
      <c r="ES37"/>
      <c r="ET37"/>
      <c r="EU37"/>
    </row>
    <row r="38" spans="15:151" s="2" customFormat="1" ht="32" customHeight="1" x14ac:dyDescent="1">
      <c r="AY38" s="2" t="s">
        <v>394</v>
      </c>
      <c r="AZ38" s="2" t="s">
        <v>413</v>
      </c>
      <c r="BA38" s="2" t="s">
        <v>204</v>
      </c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/>
      <c r="BY38"/>
      <c r="CI38"/>
      <c r="CJ38"/>
      <c r="CK38"/>
      <c r="CL38"/>
      <c r="CO38"/>
      <c r="CP38"/>
      <c r="CQ38"/>
      <c r="CR38"/>
      <c r="CU38" s="102"/>
      <c r="CV38" s="102"/>
      <c r="CW38"/>
      <c r="CX38"/>
      <c r="DH38"/>
      <c r="DI38"/>
      <c r="DJ38"/>
      <c r="DK38"/>
      <c r="DN38"/>
      <c r="DO38"/>
      <c r="DP38"/>
      <c r="DQ38"/>
      <c r="DT38"/>
      <c r="DU38"/>
      <c r="DV38"/>
      <c r="DW38"/>
      <c r="EF38"/>
      <c r="EG38"/>
      <c r="EH38"/>
      <c r="EI38"/>
      <c r="EL38"/>
      <c r="EM38"/>
      <c r="EN38"/>
      <c r="EO38"/>
      <c r="ER38"/>
      <c r="ES38"/>
      <c r="ET38"/>
      <c r="EU38"/>
    </row>
    <row r="39" spans="15:151" s="2" customFormat="1" ht="32" customHeight="1" x14ac:dyDescent="1">
      <c r="AY39" s="2" t="s">
        <v>394</v>
      </c>
      <c r="AZ39" s="2" t="s">
        <v>423</v>
      </c>
      <c r="BA39" s="2" t="s">
        <v>180</v>
      </c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/>
      <c r="BY39"/>
      <c r="CI39"/>
      <c r="CJ39"/>
      <c r="CK39"/>
      <c r="CL39"/>
      <c r="CO39"/>
      <c r="CP39"/>
      <c r="CQ39"/>
      <c r="CR39"/>
      <c r="CU39" s="102"/>
      <c r="CV39" s="102"/>
      <c r="CW39"/>
      <c r="CX39"/>
      <c r="DH39"/>
      <c r="DI39"/>
      <c r="DJ39"/>
      <c r="DK39"/>
      <c r="DN39"/>
      <c r="DO39"/>
      <c r="DP39"/>
      <c r="DQ39"/>
      <c r="DT39"/>
      <c r="DU39"/>
      <c r="DV39"/>
      <c r="DW39"/>
      <c r="EF39"/>
      <c r="EG39"/>
      <c r="EH39"/>
      <c r="EI39"/>
      <c r="EL39"/>
      <c r="EM39"/>
      <c r="EN39"/>
      <c r="EO39"/>
      <c r="ER39"/>
      <c r="ES39"/>
      <c r="ET39"/>
      <c r="EU39"/>
    </row>
    <row r="40" spans="15:151" s="2" customFormat="1" ht="32" customHeight="1" x14ac:dyDescent="1">
      <c r="AY40" s="2" t="s">
        <v>394</v>
      </c>
      <c r="AZ40" s="2" t="s">
        <v>423</v>
      </c>
      <c r="BA40" s="2" t="s">
        <v>181</v>
      </c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/>
      <c r="BY40"/>
      <c r="CI40"/>
      <c r="CJ40"/>
      <c r="CK40"/>
      <c r="CL40"/>
      <c r="CO40"/>
      <c r="CP40"/>
      <c r="CQ40"/>
      <c r="CR40"/>
      <c r="CU40" s="102"/>
      <c r="CV40" s="102"/>
      <c r="CW40"/>
      <c r="CX40"/>
      <c r="DH40"/>
      <c r="DI40"/>
      <c r="DJ40"/>
      <c r="DK40"/>
      <c r="DN40"/>
      <c r="DO40"/>
      <c r="DP40"/>
      <c r="DQ40"/>
      <c r="DT40"/>
      <c r="DU40"/>
      <c r="DV40"/>
      <c r="DW40"/>
      <c r="EF40"/>
      <c r="EG40"/>
      <c r="EH40"/>
      <c r="EI40"/>
      <c r="EL40"/>
      <c r="EM40"/>
      <c r="EN40"/>
      <c r="EO40"/>
      <c r="ER40"/>
      <c r="ES40"/>
      <c r="ET40"/>
      <c r="EU40"/>
    </row>
    <row r="41" spans="15:151" s="2" customFormat="1" ht="32" customHeight="1" x14ac:dyDescent="1">
      <c r="AY41" s="2" t="s">
        <v>395</v>
      </c>
      <c r="AZ41" s="2" t="s">
        <v>424</v>
      </c>
      <c r="BA41" s="2" t="s">
        <v>183</v>
      </c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/>
      <c r="BY41"/>
      <c r="CI41"/>
      <c r="CJ41"/>
      <c r="CK41"/>
      <c r="CL41"/>
      <c r="CO41"/>
      <c r="CP41"/>
      <c r="CQ41"/>
      <c r="CR41"/>
      <c r="CU41" s="102"/>
      <c r="CV41" s="102"/>
      <c r="CW41"/>
      <c r="CX41"/>
      <c r="DH41"/>
      <c r="DI41"/>
      <c r="DJ41"/>
      <c r="DK41"/>
      <c r="DN41"/>
      <c r="DO41"/>
      <c r="DP41"/>
      <c r="DQ41"/>
      <c r="DT41"/>
      <c r="DU41"/>
      <c r="DV41"/>
      <c r="DW41"/>
      <c r="EF41"/>
      <c r="EG41"/>
      <c r="EH41"/>
      <c r="EI41"/>
      <c r="EL41"/>
      <c r="EM41"/>
      <c r="EN41"/>
      <c r="EO41"/>
      <c r="ER41"/>
      <c r="ES41"/>
      <c r="ET41"/>
      <c r="EU41"/>
    </row>
    <row r="42" spans="15:151" s="2" customFormat="1" ht="32" customHeight="1" x14ac:dyDescent="1">
      <c r="AY42" s="2" t="s">
        <v>395</v>
      </c>
      <c r="AZ42" s="2" t="s">
        <v>424</v>
      </c>
      <c r="BA42" s="2" t="s">
        <v>184</v>
      </c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/>
      <c r="BY42"/>
      <c r="CI42"/>
      <c r="CJ42"/>
      <c r="CK42"/>
      <c r="CL42"/>
      <c r="CO42"/>
      <c r="CP42"/>
      <c r="CQ42"/>
      <c r="CR42"/>
      <c r="CU42" s="102"/>
      <c r="CV42" s="102"/>
      <c r="CW42"/>
      <c r="CX42"/>
      <c r="DH42"/>
      <c r="DI42"/>
      <c r="DJ42"/>
      <c r="DK42"/>
      <c r="DN42"/>
      <c r="DO42"/>
      <c r="DP42"/>
      <c r="DQ42"/>
      <c r="DT42"/>
      <c r="DU42"/>
      <c r="DV42"/>
      <c r="DW42"/>
      <c r="EF42"/>
      <c r="EG42"/>
      <c r="EH42"/>
      <c r="EI42"/>
      <c r="EL42"/>
      <c r="EM42"/>
      <c r="EN42"/>
      <c r="EO42"/>
      <c r="ER42"/>
      <c r="ES42"/>
      <c r="ET42"/>
      <c r="EU42"/>
    </row>
    <row r="43" spans="15:151" s="2" customFormat="1" ht="32" customHeight="1" x14ac:dyDescent="1">
      <c r="AY43" s="2" t="s">
        <v>395</v>
      </c>
      <c r="AZ43" s="2" t="s">
        <v>425</v>
      </c>
      <c r="BA43" s="2" t="s">
        <v>185</v>
      </c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/>
      <c r="BY43"/>
      <c r="CI43"/>
      <c r="CJ43"/>
      <c r="CK43"/>
      <c r="CL43"/>
      <c r="CO43"/>
      <c r="CP43"/>
      <c r="CQ43"/>
      <c r="CR43"/>
      <c r="CU43" s="102"/>
      <c r="CV43" s="102"/>
      <c r="CW43"/>
      <c r="CX43"/>
      <c r="DH43"/>
      <c r="DI43"/>
      <c r="DJ43"/>
      <c r="DK43"/>
      <c r="DN43"/>
      <c r="DO43"/>
      <c r="DP43"/>
      <c r="DQ43"/>
      <c r="DT43"/>
      <c r="DU43"/>
      <c r="DV43"/>
      <c r="DW43"/>
      <c r="EF43"/>
      <c r="EG43"/>
      <c r="EH43"/>
      <c r="EI43"/>
      <c r="EL43"/>
      <c r="EM43"/>
      <c r="EN43"/>
      <c r="EO43"/>
      <c r="ER43"/>
      <c r="ES43"/>
      <c r="ET43"/>
      <c r="EU43"/>
    </row>
    <row r="44" spans="15:151" s="2" customFormat="1" ht="32" customHeight="1" x14ac:dyDescent="1">
      <c r="AY44" t="s">
        <v>395</v>
      </c>
      <c r="AZ44" s="2" t="s">
        <v>425</v>
      </c>
      <c r="BA44" t="s">
        <v>186</v>
      </c>
      <c r="BB44"/>
      <c r="BC44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/>
      <c r="BY44"/>
      <c r="CI44"/>
      <c r="CJ44"/>
      <c r="CK44"/>
      <c r="CL44"/>
      <c r="CO44"/>
      <c r="CP44"/>
      <c r="CQ44"/>
      <c r="CR44"/>
      <c r="CU44" s="102"/>
      <c r="CV44" s="102"/>
      <c r="CW44"/>
      <c r="CX44"/>
      <c r="DH44"/>
      <c r="DI44"/>
      <c r="DJ44"/>
      <c r="DK44"/>
      <c r="DN44"/>
      <c r="DO44"/>
      <c r="DP44"/>
      <c r="DQ44"/>
      <c r="DT44"/>
      <c r="DU44"/>
      <c r="DV44"/>
      <c r="DW44"/>
      <c r="EF44"/>
      <c r="EG44"/>
      <c r="EH44"/>
      <c r="EI44"/>
      <c r="EL44"/>
      <c r="EM44"/>
      <c r="EN44"/>
      <c r="EO44"/>
      <c r="ER44"/>
      <c r="ES44"/>
      <c r="ET44"/>
      <c r="EU44"/>
    </row>
    <row r="45" spans="15:151" s="2" customFormat="1" ht="32" customHeight="1" x14ac:dyDescent="1">
      <c r="AY45" t="s">
        <v>395</v>
      </c>
      <c r="AZ45" s="2" t="s">
        <v>406</v>
      </c>
      <c r="BA45" t="s">
        <v>187</v>
      </c>
      <c r="BB45"/>
      <c r="BC45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/>
      <c r="BY45"/>
      <c r="CI45"/>
      <c r="CJ45"/>
      <c r="CK45"/>
      <c r="CL45"/>
      <c r="CO45"/>
      <c r="CP45"/>
      <c r="CQ45"/>
      <c r="CR45"/>
      <c r="CU45" s="102"/>
      <c r="CV45" s="102"/>
      <c r="CW45"/>
      <c r="CX45"/>
      <c r="DH45"/>
      <c r="DI45"/>
      <c r="DJ45"/>
      <c r="DK45"/>
      <c r="DN45"/>
      <c r="DO45"/>
      <c r="DP45"/>
      <c r="DQ45"/>
      <c r="DT45"/>
      <c r="DU45"/>
      <c r="DV45"/>
      <c r="DW45"/>
      <c r="EF45"/>
      <c r="EG45"/>
      <c r="EH45"/>
      <c r="EI45"/>
      <c r="EL45"/>
      <c r="EM45"/>
      <c r="EN45"/>
      <c r="EO45"/>
      <c r="ER45"/>
      <c r="ES45"/>
      <c r="ET45"/>
      <c r="EU45"/>
    </row>
    <row r="46" spans="15:151" s="2" customFormat="1" ht="32" customHeight="1" x14ac:dyDescent="1">
      <c r="AY46" t="s">
        <v>395</v>
      </c>
      <c r="AZ46" s="2" t="s">
        <v>406</v>
      </c>
      <c r="BA46" t="s">
        <v>188</v>
      </c>
      <c r="BB46"/>
      <c r="BC46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/>
      <c r="BY46"/>
      <c r="CI46"/>
      <c r="CJ46"/>
      <c r="CK46"/>
      <c r="CL46"/>
      <c r="CO46"/>
      <c r="CP46"/>
      <c r="CQ46"/>
      <c r="CR46"/>
      <c r="CU46" s="102"/>
      <c r="CV46" s="102"/>
      <c r="CW46"/>
      <c r="CX46"/>
      <c r="DH46"/>
      <c r="DI46"/>
      <c r="DJ46"/>
      <c r="DK46"/>
      <c r="DN46"/>
      <c r="DO46"/>
      <c r="DP46"/>
      <c r="DQ46"/>
      <c r="DT46"/>
      <c r="DU46"/>
      <c r="DV46"/>
      <c r="DW46"/>
      <c r="EF46"/>
      <c r="EG46"/>
      <c r="EH46"/>
      <c r="EI46"/>
      <c r="EL46"/>
      <c r="EM46"/>
      <c r="EN46"/>
      <c r="EO46"/>
      <c r="ER46"/>
      <c r="ES46"/>
      <c r="ET46"/>
      <c r="EU46"/>
    </row>
    <row r="47" spans="15:151" s="2" customFormat="1" ht="32" customHeight="1" x14ac:dyDescent="1">
      <c r="AY47" t="s">
        <v>396</v>
      </c>
      <c r="AZ47" s="2" t="s">
        <v>82</v>
      </c>
      <c r="BA47" t="s">
        <v>189</v>
      </c>
      <c r="BB47"/>
      <c r="BC47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/>
      <c r="BY47"/>
      <c r="CI47"/>
      <c r="CJ47"/>
      <c r="CK47"/>
      <c r="CL47"/>
      <c r="CO47"/>
      <c r="CP47"/>
      <c r="CQ47"/>
      <c r="CR47"/>
      <c r="CU47" s="102"/>
      <c r="CV47" s="102"/>
      <c r="CW47"/>
      <c r="CX47"/>
      <c r="DH47"/>
      <c r="DI47"/>
      <c r="DJ47"/>
      <c r="DK47"/>
      <c r="DN47"/>
      <c r="DO47"/>
      <c r="DP47"/>
      <c r="DQ47"/>
      <c r="DT47"/>
      <c r="DU47"/>
      <c r="DV47"/>
      <c r="DW47"/>
      <c r="EF47"/>
      <c r="EG47"/>
      <c r="EH47"/>
      <c r="EI47"/>
      <c r="EL47"/>
      <c r="EM47"/>
      <c r="EN47"/>
      <c r="EO47"/>
      <c r="ER47"/>
      <c r="ES47"/>
      <c r="ET47"/>
      <c r="EU47"/>
    </row>
    <row r="48" spans="15:151" s="2" customFormat="1" ht="32" customHeight="1" x14ac:dyDescent="1">
      <c r="AY48" t="s">
        <v>396</v>
      </c>
      <c r="AZ48" s="2" t="s">
        <v>82</v>
      </c>
      <c r="BA48" t="s">
        <v>190</v>
      </c>
      <c r="BB48"/>
      <c r="BC48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/>
      <c r="BY48"/>
      <c r="CI48"/>
      <c r="CJ48"/>
      <c r="CK48"/>
      <c r="CL48"/>
      <c r="CO48"/>
      <c r="CP48"/>
      <c r="CQ48"/>
      <c r="CR48"/>
      <c r="CU48" s="102"/>
      <c r="CV48" s="102"/>
      <c r="CW48"/>
      <c r="CX48"/>
      <c r="DH48"/>
      <c r="DI48"/>
      <c r="DJ48"/>
      <c r="DK48"/>
      <c r="DN48"/>
      <c r="DO48"/>
      <c r="DP48"/>
      <c r="DQ48"/>
      <c r="DT48"/>
      <c r="DU48"/>
      <c r="DV48"/>
      <c r="DW48"/>
      <c r="EF48"/>
      <c r="EG48"/>
      <c r="EH48"/>
      <c r="EI48"/>
      <c r="EL48"/>
      <c r="EM48"/>
      <c r="EN48"/>
      <c r="EO48"/>
      <c r="ER48"/>
      <c r="ES48"/>
      <c r="ET48"/>
      <c r="EU48"/>
    </row>
    <row r="49" spans="51:151" s="2" customFormat="1" ht="32" customHeight="1" x14ac:dyDescent="1">
      <c r="AY49" t="s">
        <v>396</v>
      </c>
      <c r="AZ49" s="2" t="s">
        <v>83</v>
      </c>
      <c r="BA49" t="s">
        <v>191</v>
      </c>
      <c r="BB49"/>
      <c r="BC49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/>
      <c r="BY49"/>
      <c r="CI49"/>
      <c r="CJ49"/>
      <c r="CK49"/>
      <c r="CL49"/>
      <c r="CO49"/>
      <c r="CP49"/>
      <c r="CQ49"/>
      <c r="CR49"/>
      <c r="CU49" s="102"/>
      <c r="CV49" s="102"/>
      <c r="CW49"/>
      <c r="CX49"/>
      <c r="DH49"/>
      <c r="DI49"/>
      <c r="DJ49"/>
      <c r="DK49"/>
      <c r="DN49"/>
      <c r="DO49"/>
      <c r="DP49"/>
      <c r="DQ49"/>
      <c r="DT49"/>
      <c r="DU49"/>
      <c r="DV49"/>
      <c r="DW49"/>
      <c r="EF49"/>
      <c r="EG49"/>
      <c r="EH49"/>
      <c r="EI49"/>
      <c r="EL49"/>
      <c r="EM49"/>
      <c r="EN49"/>
      <c r="EO49"/>
      <c r="ER49"/>
      <c r="ES49"/>
      <c r="ET49"/>
      <c r="EU49"/>
    </row>
    <row r="50" spans="51:151" s="2" customFormat="1" ht="32" customHeight="1" x14ac:dyDescent="1">
      <c r="AY50" t="s">
        <v>396</v>
      </c>
      <c r="AZ50" s="2" t="s">
        <v>83</v>
      </c>
      <c r="BA50" t="s">
        <v>192</v>
      </c>
      <c r="BB50"/>
      <c r="BC50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/>
      <c r="BY50"/>
      <c r="CI50"/>
      <c r="CJ50"/>
      <c r="CK50"/>
      <c r="CL50"/>
      <c r="CO50"/>
      <c r="CP50"/>
      <c r="CQ50"/>
      <c r="CR50"/>
      <c r="CU50" s="102"/>
      <c r="CV50" s="102"/>
      <c r="CW50"/>
      <c r="CX50"/>
      <c r="DH50"/>
      <c r="DI50"/>
      <c r="DJ50"/>
      <c r="DK50"/>
      <c r="DN50"/>
      <c r="DO50"/>
      <c r="DP50"/>
      <c r="DQ50"/>
      <c r="DT50"/>
      <c r="DU50"/>
      <c r="DV50"/>
      <c r="DW50"/>
      <c r="EF50"/>
      <c r="EG50"/>
      <c r="EH50"/>
      <c r="EI50"/>
      <c r="EL50"/>
      <c r="EM50"/>
      <c r="EN50"/>
      <c r="EO50"/>
      <c r="ER50"/>
      <c r="ES50"/>
      <c r="ET50"/>
      <c r="EU50"/>
    </row>
    <row r="51" spans="51:151" s="2" customFormat="1" ht="32" customHeight="1" x14ac:dyDescent="1">
      <c r="AY51" t="s">
        <v>396</v>
      </c>
      <c r="AZ51" s="2" t="s">
        <v>84</v>
      </c>
      <c r="BA51" t="s">
        <v>193</v>
      </c>
      <c r="BB51"/>
      <c r="BC51"/>
      <c r="BJ51"/>
      <c r="BK51"/>
      <c r="BL51"/>
      <c r="BM51"/>
      <c r="BP51"/>
      <c r="BQ51"/>
      <c r="BR51"/>
      <c r="BS51"/>
      <c r="BV51" s="102"/>
      <c r="BW51" s="102"/>
      <c r="BX51"/>
      <c r="BY51"/>
      <c r="CI51"/>
      <c r="CJ51"/>
      <c r="CK51"/>
      <c r="CL51"/>
      <c r="CO51"/>
      <c r="CP51"/>
      <c r="CQ51"/>
      <c r="CR51"/>
      <c r="CU51" s="102"/>
      <c r="CV51" s="102"/>
      <c r="CW51"/>
      <c r="CX51"/>
      <c r="DH51"/>
      <c r="DI51"/>
      <c r="DJ51"/>
      <c r="DK51"/>
      <c r="DN51"/>
      <c r="DO51"/>
      <c r="DP51"/>
      <c r="DQ51"/>
      <c r="DT51"/>
      <c r="DU51"/>
      <c r="DV51"/>
      <c r="DW51"/>
      <c r="EF51"/>
      <c r="EG51"/>
      <c r="EH51"/>
      <c r="EI51"/>
      <c r="EL51"/>
      <c r="EM51"/>
      <c r="EN51"/>
      <c r="EO51"/>
      <c r="ER51"/>
      <c r="ES51"/>
      <c r="ET51"/>
      <c r="EU51"/>
    </row>
    <row r="52" spans="51:151" s="2" customFormat="1" ht="32" customHeight="1" x14ac:dyDescent="1">
      <c r="AY52" t="s">
        <v>396</v>
      </c>
      <c r="AZ52" s="2" t="s">
        <v>84</v>
      </c>
      <c r="BA52" t="s">
        <v>194</v>
      </c>
      <c r="BB52"/>
      <c r="BC52"/>
      <c r="BJ52"/>
      <c r="BK52"/>
      <c r="BL52"/>
      <c r="BM52"/>
      <c r="BP52"/>
      <c r="BQ52"/>
      <c r="BR52"/>
      <c r="BS52"/>
      <c r="BV52" s="102"/>
      <c r="BW52" s="102"/>
      <c r="BX52"/>
      <c r="BY52"/>
      <c r="CI52"/>
      <c r="CJ52"/>
      <c r="CK52"/>
      <c r="CL52"/>
      <c r="CO52"/>
      <c r="CP52"/>
      <c r="CQ52"/>
      <c r="CR52"/>
      <c r="CU52" s="102"/>
      <c r="CV52" s="102"/>
      <c r="CW52"/>
      <c r="CX52"/>
      <c r="DH52"/>
      <c r="DI52"/>
      <c r="DJ52"/>
      <c r="DK52"/>
      <c r="DN52"/>
      <c r="DO52"/>
      <c r="DP52"/>
      <c r="DQ52"/>
      <c r="DT52"/>
      <c r="DU52"/>
      <c r="DV52"/>
      <c r="DW52"/>
      <c r="EF52"/>
      <c r="EG52"/>
      <c r="EH52"/>
      <c r="EI52"/>
      <c r="EL52"/>
      <c r="EM52"/>
      <c r="EN52"/>
      <c r="EO52"/>
      <c r="ER52"/>
      <c r="ES52"/>
      <c r="ET52"/>
      <c r="EU52"/>
    </row>
    <row r="53" spans="51:151" ht="22.5" x14ac:dyDescent="1">
      <c r="AY53" t="s">
        <v>397</v>
      </c>
      <c r="AZ53" s="2" t="s">
        <v>82</v>
      </c>
      <c r="BA53" t="s">
        <v>189</v>
      </c>
      <c r="BV53" s="102"/>
      <c r="BW53" s="102"/>
      <c r="CU53" s="102"/>
      <c r="CV53" s="102"/>
    </row>
    <row r="54" spans="51:151" ht="22.5" x14ac:dyDescent="1">
      <c r="AY54" t="s">
        <v>397</v>
      </c>
      <c r="AZ54" s="2" t="s">
        <v>82</v>
      </c>
      <c r="BA54" t="s">
        <v>190</v>
      </c>
      <c r="BV54" s="102"/>
      <c r="BW54" s="102"/>
      <c r="CU54" s="102"/>
      <c r="CV54" s="102"/>
    </row>
    <row r="55" spans="51:151" ht="22.5" x14ac:dyDescent="1">
      <c r="AY55" t="s">
        <v>397</v>
      </c>
      <c r="AZ55" s="2" t="s">
        <v>83</v>
      </c>
      <c r="BA55" t="s">
        <v>191</v>
      </c>
      <c r="BV55" s="102"/>
      <c r="BW55" s="102"/>
      <c r="CU55" s="102"/>
      <c r="CV55" s="102"/>
    </row>
    <row r="56" spans="51:151" ht="22.5" x14ac:dyDescent="1">
      <c r="AY56" t="s">
        <v>397</v>
      </c>
      <c r="AZ56" s="2" t="s">
        <v>83</v>
      </c>
      <c r="BA56" t="s">
        <v>192</v>
      </c>
      <c r="BV56" s="102"/>
      <c r="BW56" s="102"/>
      <c r="CU56" s="102"/>
      <c r="CV56" s="102"/>
    </row>
    <row r="57" spans="51:151" ht="22.5" x14ac:dyDescent="1">
      <c r="AY57" t="s">
        <v>397</v>
      </c>
      <c r="AZ57" s="2" t="s">
        <v>84</v>
      </c>
      <c r="BA57" t="s">
        <v>193</v>
      </c>
      <c r="BV57" s="102"/>
      <c r="BW57" s="102"/>
      <c r="CU57" s="102"/>
      <c r="CV57" s="102"/>
    </row>
    <row r="58" spans="51:151" ht="22.5" x14ac:dyDescent="1">
      <c r="AY58" t="s">
        <v>397</v>
      </c>
      <c r="AZ58" s="2" t="s">
        <v>84</v>
      </c>
      <c r="BA58" t="s">
        <v>194</v>
      </c>
      <c r="BV58" s="102"/>
      <c r="BW58" s="102"/>
      <c r="CU58" s="102"/>
      <c r="CV58" s="102"/>
    </row>
    <row r="59" spans="51:151" ht="22.5" x14ac:dyDescent="1">
      <c r="AY59" t="s">
        <v>398</v>
      </c>
      <c r="AZ59" s="2" t="s">
        <v>426</v>
      </c>
      <c r="BA59" t="s">
        <v>359</v>
      </c>
      <c r="BV59" s="102"/>
      <c r="BW59" s="102"/>
      <c r="CU59" s="102"/>
      <c r="CV59" s="102"/>
    </row>
    <row r="60" spans="51:151" ht="22.5" x14ac:dyDescent="1">
      <c r="AY60" t="s">
        <v>398</v>
      </c>
      <c r="AZ60" s="2" t="s">
        <v>426</v>
      </c>
      <c r="BA60" t="s">
        <v>360</v>
      </c>
      <c r="BV60" s="102"/>
      <c r="BW60" s="102"/>
      <c r="CU60" s="102"/>
      <c r="CV60" s="102"/>
    </row>
    <row r="61" spans="51:151" ht="22.5" x14ac:dyDescent="1">
      <c r="AY61" t="s">
        <v>398</v>
      </c>
      <c r="AZ61" s="2" t="s">
        <v>427</v>
      </c>
      <c r="BA61" t="s">
        <v>205</v>
      </c>
      <c r="BV61" s="102"/>
      <c r="BW61" s="102"/>
      <c r="CU61" s="102"/>
      <c r="CV61" s="102"/>
    </row>
    <row r="62" spans="51:151" ht="22.5" x14ac:dyDescent="1">
      <c r="AY62" t="s">
        <v>398</v>
      </c>
      <c r="AZ62" s="2" t="s">
        <v>427</v>
      </c>
      <c r="BA62" t="s">
        <v>206</v>
      </c>
      <c r="BV62" s="102"/>
      <c r="BW62" s="102"/>
      <c r="CU62" s="102"/>
      <c r="CV62" s="102"/>
    </row>
    <row r="63" spans="51:151" ht="22.5" x14ac:dyDescent="1">
      <c r="AY63" t="s">
        <v>398</v>
      </c>
      <c r="AZ63" s="2" t="s">
        <v>428</v>
      </c>
      <c r="BA63" t="s">
        <v>207</v>
      </c>
      <c r="BV63" s="102"/>
      <c r="BW63" s="102"/>
      <c r="CU63" s="102"/>
      <c r="CV63" s="102"/>
    </row>
    <row r="64" spans="51:151" ht="22.5" x14ac:dyDescent="1">
      <c r="AY64" t="s">
        <v>398</v>
      </c>
      <c r="AZ64" s="2" t="s">
        <v>428</v>
      </c>
      <c r="BA64" t="s">
        <v>208</v>
      </c>
      <c r="BV64" s="102"/>
      <c r="BW64" s="102"/>
      <c r="CU64" s="102"/>
      <c r="CV64" s="102"/>
    </row>
    <row r="65" spans="51:100" ht="22.5" x14ac:dyDescent="1">
      <c r="AY65" t="s">
        <v>398</v>
      </c>
      <c r="AZ65" s="2" t="s">
        <v>429</v>
      </c>
      <c r="BA65" t="s">
        <v>209</v>
      </c>
      <c r="BV65" s="102"/>
      <c r="BW65" s="102"/>
      <c r="CU65" s="102"/>
      <c r="CV65" s="102"/>
    </row>
    <row r="66" spans="51:100" ht="22.5" x14ac:dyDescent="1">
      <c r="AY66" t="s">
        <v>398</v>
      </c>
      <c r="AZ66" s="2" t="s">
        <v>429</v>
      </c>
      <c r="BA66" t="s">
        <v>210</v>
      </c>
      <c r="BV66" s="102"/>
      <c r="BW66" s="102"/>
      <c r="CU66" s="102"/>
      <c r="CV66" s="102"/>
    </row>
    <row r="67" spans="51:100" ht="22.5" x14ac:dyDescent="1">
      <c r="AY67" t="s">
        <v>398</v>
      </c>
      <c r="AZ67" s="2" t="s">
        <v>430</v>
      </c>
      <c r="BA67" t="s">
        <v>211</v>
      </c>
      <c r="BV67" s="102"/>
      <c r="BW67" s="102"/>
      <c r="CU67" s="102"/>
      <c r="CV67" s="102"/>
    </row>
    <row r="68" spans="51:100" ht="22.5" x14ac:dyDescent="1">
      <c r="AY68" t="s">
        <v>398</v>
      </c>
      <c r="AZ68" s="2" t="s">
        <v>430</v>
      </c>
      <c r="BA68" t="s">
        <v>212</v>
      </c>
      <c r="BV68" s="102"/>
      <c r="BW68" s="102"/>
      <c r="CU68" s="102"/>
      <c r="CV68" s="102"/>
    </row>
    <row r="69" spans="51:100" ht="22.5" x14ac:dyDescent="1">
      <c r="AY69" t="s">
        <v>402</v>
      </c>
      <c r="AZ69" s="2" t="s">
        <v>431</v>
      </c>
      <c r="BA69" t="s">
        <v>403</v>
      </c>
      <c r="BV69" s="102"/>
      <c r="BW69" s="102"/>
      <c r="CU69" s="102"/>
      <c r="CV69" s="102"/>
    </row>
    <row r="70" spans="51:100" ht="22.5" x14ac:dyDescent="1">
      <c r="AY70" t="s">
        <v>402</v>
      </c>
      <c r="AZ70" s="2" t="s">
        <v>431</v>
      </c>
      <c r="BA70" t="s">
        <v>361</v>
      </c>
      <c r="BV70" s="102"/>
      <c r="BW70" s="102"/>
      <c r="CU70" s="102"/>
      <c r="CV70" s="102"/>
    </row>
    <row r="71" spans="51:100" ht="22.5" x14ac:dyDescent="1">
      <c r="AY71" t="s">
        <v>402</v>
      </c>
      <c r="AZ71" s="2" t="s">
        <v>432</v>
      </c>
      <c r="BA71" t="s">
        <v>362</v>
      </c>
      <c r="BV71" s="102"/>
      <c r="BW71" s="102"/>
      <c r="CU71" s="102"/>
      <c r="CV71" s="102"/>
    </row>
    <row r="72" spans="51:100" ht="22.5" x14ac:dyDescent="1">
      <c r="AY72" t="s">
        <v>402</v>
      </c>
      <c r="AZ72" s="2" t="s">
        <v>432</v>
      </c>
      <c r="BA72" t="s">
        <v>363</v>
      </c>
      <c r="BV72" s="102"/>
      <c r="BW72" s="102"/>
      <c r="CU72" s="102"/>
      <c r="CV72" s="102"/>
    </row>
    <row r="73" spans="51:100" ht="22.5" x14ac:dyDescent="1">
      <c r="AY73" t="s">
        <v>402</v>
      </c>
      <c r="AZ73" s="2" t="s">
        <v>433</v>
      </c>
      <c r="BA73" t="s">
        <v>364</v>
      </c>
      <c r="BV73" s="102"/>
      <c r="BW73" s="102"/>
      <c r="CU73" s="102"/>
      <c r="CV73" s="102"/>
    </row>
    <row r="74" spans="51:100" ht="22.5" x14ac:dyDescent="1">
      <c r="AY74" t="s">
        <v>402</v>
      </c>
      <c r="AZ74" s="2" t="s">
        <v>433</v>
      </c>
      <c r="BA74" t="s">
        <v>365</v>
      </c>
      <c r="BV74" s="102"/>
      <c r="BW74" s="102"/>
      <c r="CU74" s="102"/>
      <c r="CV74" s="102"/>
    </row>
    <row r="75" spans="51:100" ht="22.5" x14ac:dyDescent="1">
      <c r="AY75" t="s">
        <v>402</v>
      </c>
      <c r="AZ75" s="2" t="s">
        <v>434</v>
      </c>
      <c r="BA75" t="s">
        <v>366</v>
      </c>
      <c r="BV75" s="102"/>
      <c r="BW75" s="102"/>
      <c r="CU75" s="102"/>
      <c r="CV75" s="102"/>
    </row>
    <row r="76" spans="51:100" ht="22.5" x14ac:dyDescent="1">
      <c r="AY76" t="s">
        <v>402</v>
      </c>
      <c r="AZ76" s="2" t="s">
        <v>434</v>
      </c>
      <c r="BA76" t="s">
        <v>367</v>
      </c>
      <c r="BV76" s="102"/>
      <c r="BW76" s="102"/>
      <c r="CU76" s="102"/>
      <c r="CV76" s="102"/>
    </row>
    <row r="77" spans="51:100" ht="22.5" x14ac:dyDescent="1">
      <c r="AY77" t="s">
        <v>404</v>
      </c>
      <c r="AZ77" s="2" t="s">
        <v>426</v>
      </c>
      <c r="BA77" t="s">
        <v>359</v>
      </c>
      <c r="BV77" s="102"/>
      <c r="BW77" s="102"/>
      <c r="CU77" s="102"/>
      <c r="CV77" s="102"/>
    </row>
    <row r="78" spans="51:100" ht="22.5" x14ac:dyDescent="1">
      <c r="AY78" t="s">
        <v>404</v>
      </c>
      <c r="AZ78" s="2" t="s">
        <v>426</v>
      </c>
      <c r="BA78" t="s">
        <v>360</v>
      </c>
      <c r="BV78" s="102"/>
      <c r="BW78" s="102"/>
      <c r="CU78" s="102"/>
      <c r="CV78" s="102"/>
    </row>
    <row r="79" spans="51:100" ht="22.5" x14ac:dyDescent="1">
      <c r="AY79" t="s">
        <v>404</v>
      </c>
      <c r="AZ79" s="2" t="s">
        <v>427</v>
      </c>
      <c r="BA79" t="s">
        <v>205</v>
      </c>
      <c r="BV79" s="102"/>
      <c r="BW79" s="102"/>
      <c r="CU79" s="102"/>
      <c r="CV79" s="102"/>
    </row>
    <row r="80" spans="51:100" ht="22.5" x14ac:dyDescent="1">
      <c r="AY80" t="s">
        <v>404</v>
      </c>
      <c r="AZ80" s="2" t="s">
        <v>427</v>
      </c>
      <c r="BA80" t="s">
        <v>206</v>
      </c>
      <c r="BV80" s="102"/>
      <c r="BW80" s="102"/>
      <c r="CU80" s="102"/>
      <c r="CV80" s="102"/>
    </row>
    <row r="81" spans="51:100" ht="22.5" x14ac:dyDescent="1">
      <c r="AY81" t="s">
        <v>404</v>
      </c>
      <c r="AZ81" s="2" t="s">
        <v>428</v>
      </c>
      <c r="BA81" t="s">
        <v>207</v>
      </c>
      <c r="BV81" s="102"/>
      <c r="BW81" s="102"/>
      <c r="CU81" s="102"/>
      <c r="CV81" s="102"/>
    </row>
    <row r="82" spans="51:100" ht="22.5" x14ac:dyDescent="1">
      <c r="AY82" t="s">
        <v>404</v>
      </c>
      <c r="AZ82" s="2" t="s">
        <v>428</v>
      </c>
      <c r="BA82" t="s">
        <v>208</v>
      </c>
      <c r="BV82" s="102"/>
      <c r="BW82" s="102"/>
      <c r="CU82" s="102"/>
      <c r="CV82" s="102"/>
    </row>
    <row r="83" spans="51:100" ht="22.5" x14ac:dyDescent="1">
      <c r="AY83" t="s">
        <v>404</v>
      </c>
      <c r="AZ83" s="2" t="s">
        <v>429</v>
      </c>
      <c r="BA83" t="s">
        <v>209</v>
      </c>
      <c r="BV83" s="102"/>
      <c r="BW83" s="102"/>
      <c r="CU83" s="102"/>
      <c r="CV83" s="102"/>
    </row>
    <row r="84" spans="51:100" ht="22.5" x14ac:dyDescent="1">
      <c r="AY84" t="s">
        <v>404</v>
      </c>
      <c r="AZ84" s="2" t="s">
        <v>429</v>
      </c>
      <c r="BA84" t="s">
        <v>210</v>
      </c>
      <c r="BV84" s="102"/>
      <c r="BW84" s="102"/>
      <c r="CU84" s="102"/>
      <c r="CV84" s="102"/>
    </row>
    <row r="85" spans="51:100" ht="22.5" x14ac:dyDescent="1">
      <c r="AY85" t="s">
        <v>404</v>
      </c>
      <c r="AZ85" s="2" t="s">
        <v>430</v>
      </c>
      <c r="BA85" t="s">
        <v>211</v>
      </c>
      <c r="BV85" s="102"/>
      <c r="BW85" s="102"/>
      <c r="CU85" s="102"/>
      <c r="CV85" s="102"/>
    </row>
    <row r="86" spans="51:100" ht="22.5" x14ac:dyDescent="1">
      <c r="AY86" t="s">
        <v>404</v>
      </c>
      <c r="AZ86" s="2" t="s">
        <v>430</v>
      </c>
      <c r="BA86" t="s">
        <v>212</v>
      </c>
      <c r="BV86" s="102"/>
      <c r="BW86" s="102"/>
      <c r="CU86" s="102"/>
      <c r="CV86" s="102"/>
    </row>
    <row r="87" spans="51:100" ht="22.5" x14ac:dyDescent="1">
      <c r="BV87" s="102"/>
      <c r="BW87" s="102"/>
      <c r="CU87" s="102"/>
      <c r="CV87" s="102"/>
    </row>
    <row r="88" spans="51:100" ht="22.5" x14ac:dyDescent="1">
      <c r="BV88" s="102"/>
      <c r="BW88" s="102"/>
      <c r="CU88" s="102"/>
      <c r="CV88" s="102"/>
    </row>
    <row r="89" spans="51:100" ht="22.5" x14ac:dyDescent="1">
      <c r="BV89" s="102"/>
      <c r="BW89" s="102"/>
      <c r="CU89" s="102"/>
      <c r="CV89" s="102"/>
    </row>
    <row r="90" spans="51:100" ht="22.5" x14ac:dyDescent="1">
      <c r="BV90" s="102"/>
      <c r="BW90" s="102"/>
      <c r="CU90" s="102"/>
      <c r="CV90" s="102"/>
    </row>
    <row r="91" spans="51:100" ht="22.5" x14ac:dyDescent="1">
      <c r="BV91" s="102"/>
      <c r="BW91" s="102"/>
      <c r="CU91" s="102"/>
      <c r="CV91" s="102"/>
    </row>
    <row r="92" spans="51:100" ht="22.5" x14ac:dyDescent="1">
      <c r="BV92" s="102"/>
      <c r="BW92" s="102"/>
      <c r="CU92" s="102"/>
      <c r="CV92" s="102"/>
    </row>
    <row r="93" spans="51:100" ht="22.5" x14ac:dyDescent="1">
      <c r="BV93" s="102"/>
      <c r="BW93" s="102"/>
      <c r="CU93" s="102"/>
      <c r="CV93" s="102"/>
    </row>
    <row r="94" spans="51:100" ht="22.5" x14ac:dyDescent="1">
      <c r="BV94" s="102"/>
      <c r="BW94" s="102"/>
      <c r="CU94" s="102"/>
      <c r="CV94" s="102"/>
    </row>
    <row r="95" spans="51:100" ht="22.5" x14ac:dyDescent="1">
      <c r="BV95" s="102"/>
      <c r="BW95" s="102"/>
      <c r="CU95" s="102"/>
      <c r="CV95" s="102"/>
    </row>
    <row r="96" spans="51:100" ht="22.5" x14ac:dyDescent="1">
      <c r="BV96" s="102"/>
      <c r="BW96" s="102"/>
      <c r="CU96" s="102"/>
      <c r="CV96" s="102"/>
    </row>
    <row r="97" spans="74:100" ht="22.5" x14ac:dyDescent="1">
      <c r="BV97" s="102"/>
      <c r="BW97" s="102"/>
      <c r="CU97" s="102"/>
      <c r="CV97" s="102"/>
    </row>
    <row r="98" spans="74:100" ht="22.5" x14ac:dyDescent="1">
      <c r="BV98" s="102"/>
      <c r="BW98" s="102"/>
      <c r="CU98" s="102"/>
      <c r="CV98" s="102"/>
    </row>
    <row r="99" spans="74:100" ht="22.5" x14ac:dyDescent="1">
      <c r="BV99" s="102"/>
      <c r="BW99" s="102"/>
      <c r="CU99" s="102"/>
      <c r="CV99" s="102"/>
    </row>
    <row r="100" spans="74:100" ht="22.5" x14ac:dyDescent="1">
      <c r="BV100" s="102"/>
      <c r="BW100" s="102"/>
      <c r="CU100" s="102"/>
      <c r="CV100" s="102"/>
    </row>
    <row r="101" spans="74:100" ht="22.5" x14ac:dyDescent="1">
      <c r="BV101" s="102"/>
      <c r="BW101" s="102"/>
      <c r="CU101" s="102"/>
      <c r="CV101" s="102"/>
    </row>
    <row r="102" spans="74:100" ht="22.5" x14ac:dyDescent="1">
      <c r="BV102" s="102"/>
      <c r="BW102" s="102"/>
      <c r="CU102" s="102"/>
      <c r="CV102" s="102"/>
    </row>
    <row r="103" spans="74:100" ht="22.5" x14ac:dyDescent="1">
      <c r="BV103" s="102"/>
      <c r="BW103" s="102"/>
      <c r="CU103" s="102"/>
      <c r="CV103" s="102"/>
    </row>
    <row r="104" spans="74:100" ht="22.5" x14ac:dyDescent="1">
      <c r="BV104" s="102"/>
      <c r="BW104" s="102"/>
      <c r="CU104" s="102"/>
      <c r="CV104" s="102"/>
    </row>
    <row r="105" spans="74:100" ht="22.5" x14ac:dyDescent="1">
      <c r="BV105" s="102"/>
      <c r="BW105" s="102"/>
      <c r="CU105" s="102"/>
      <c r="CV105" s="102"/>
    </row>
    <row r="106" spans="74:100" ht="22.5" x14ac:dyDescent="1">
      <c r="BV106" s="102"/>
      <c r="BW106" s="102"/>
      <c r="CU106" s="102"/>
      <c r="CV106" s="102"/>
    </row>
    <row r="107" spans="74:100" ht="22.5" x14ac:dyDescent="1">
      <c r="BV107" s="102"/>
      <c r="BW107" s="102"/>
      <c r="CU107" s="102"/>
      <c r="CV107" s="102"/>
    </row>
    <row r="108" spans="74:100" ht="22.5" x14ac:dyDescent="1">
      <c r="BV108" s="102"/>
      <c r="BW108" s="102"/>
      <c r="CU108" s="102"/>
      <c r="CV108" s="102"/>
    </row>
    <row r="109" spans="74:100" ht="22.5" x14ac:dyDescent="1">
      <c r="BV109" s="102"/>
      <c r="BW109" s="102"/>
      <c r="CU109" s="102"/>
      <c r="CV109" s="102"/>
    </row>
    <row r="110" spans="74:100" ht="22.5" x14ac:dyDescent="1">
      <c r="BV110" s="102"/>
      <c r="BW110" s="102"/>
      <c r="CU110" s="102"/>
      <c r="CV110" s="102"/>
    </row>
    <row r="111" spans="74:100" ht="22.5" x14ac:dyDescent="1">
      <c r="BV111" s="102"/>
      <c r="BW111" s="102"/>
      <c r="CU111" s="102"/>
      <c r="CV111" s="102"/>
    </row>
    <row r="112" spans="74:100" ht="22.5" x14ac:dyDescent="1">
      <c r="BV112" s="102"/>
      <c r="BW112" s="102"/>
      <c r="CU112" s="102"/>
      <c r="CV112" s="102"/>
    </row>
    <row r="113" spans="74:100" ht="22.5" x14ac:dyDescent="1">
      <c r="BV113" s="102"/>
      <c r="BW113" s="102"/>
      <c r="CU113" s="102"/>
      <c r="CV113" s="102"/>
    </row>
    <row r="114" spans="74:100" ht="22.5" x14ac:dyDescent="1">
      <c r="BV114" s="102"/>
      <c r="BW114" s="102"/>
      <c r="CU114" s="102"/>
      <c r="CV114" s="102"/>
    </row>
    <row r="115" spans="74:100" ht="22.5" x14ac:dyDescent="1">
      <c r="BV115" s="102"/>
      <c r="BW115" s="102"/>
      <c r="CU115" s="102"/>
      <c r="CV115" s="102"/>
    </row>
    <row r="116" spans="74:100" ht="22.5" x14ac:dyDescent="1">
      <c r="BV116" s="102"/>
      <c r="BW116" s="102"/>
      <c r="CU116" s="102"/>
      <c r="CV116" s="102"/>
    </row>
    <row r="117" spans="74:100" ht="22.5" x14ac:dyDescent="1">
      <c r="BV117" s="102"/>
      <c r="BW117" s="102"/>
      <c r="CU117" s="102"/>
      <c r="CV117" s="102"/>
    </row>
    <row r="118" spans="74:100" ht="22.5" x14ac:dyDescent="1">
      <c r="BV118" s="102"/>
      <c r="BW118" s="102"/>
      <c r="CU118" s="102"/>
      <c r="CV118" s="102"/>
    </row>
    <row r="119" spans="74:100" ht="22.5" x14ac:dyDescent="1">
      <c r="BV119" s="102"/>
      <c r="BW119" s="102"/>
      <c r="CU119" s="102"/>
      <c r="CV119" s="102"/>
    </row>
    <row r="120" spans="74:100" ht="22.5" x14ac:dyDescent="1">
      <c r="BV120" s="102"/>
      <c r="BW120" s="102"/>
      <c r="CU120" s="102"/>
      <c r="CV120" s="102"/>
    </row>
    <row r="121" spans="74:100" ht="22.5" x14ac:dyDescent="1">
      <c r="BV121" s="102"/>
      <c r="BW121" s="102"/>
      <c r="CU121" s="102"/>
      <c r="CV121" s="102"/>
    </row>
    <row r="122" spans="74:100" ht="22.5" x14ac:dyDescent="1">
      <c r="BV122" s="102"/>
      <c r="BW122" s="102"/>
      <c r="CU122" s="102"/>
      <c r="CV122" s="102"/>
    </row>
    <row r="123" spans="74:100" ht="22.5" x14ac:dyDescent="1">
      <c r="BV123" s="102"/>
      <c r="BW123" s="102"/>
      <c r="CU123" s="102"/>
      <c r="CV123" s="102"/>
    </row>
    <row r="124" spans="74:100" ht="22.5" x14ac:dyDescent="1">
      <c r="BV124" s="102"/>
      <c r="BW124" s="102"/>
      <c r="CU124" s="102"/>
      <c r="CV124" s="102"/>
    </row>
    <row r="125" spans="74:100" ht="22.5" x14ac:dyDescent="1">
      <c r="BV125" s="102"/>
      <c r="BW125" s="102"/>
      <c r="CU125" s="102"/>
      <c r="CV125" s="102"/>
    </row>
    <row r="126" spans="74:100" ht="22.5" x14ac:dyDescent="1">
      <c r="BV126" s="102"/>
      <c r="BW126" s="102"/>
      <c r="CU126" s="102"/>
      <c r="CV126" s="102"/>
    </row>
    <row r="127" spans="74:100" ht="22.5" x14ac:dyDescent="1">
      <c r="BV127" s="102"/>
      <c r="BW127" s="102"/>
      <c r="CU127" s="102"/>
      <c r="CV127" s="102"/>
    </row>
    <row r="128" spans="74:100" ht="22.5" x14ac:dyDescent="1">
      <c r="BV128" s="102"/>
      <c r="BW128" s="102"/>
      <c r="CU128" s="102"/>
      <c r="CV128" s="102"/>
    </row>
    <row r="129" spans="74:100" ht="22.5" x14ac:dyDescent="1">
      <c r="BV129" s="102"/>
      <c r="BW129" s="102"/>
      <c r="CU129" s="102"/>
      <c r="CV129" s="102"/>
    </row>
    <row r="130" spans="74:100" ht="22.5" x14ac:dyDescent="1">
      <c r="BV130" s="102"/>
      <c r="BW130" s="102"/>
      <c r="CU130" s="102"/>
      <c r="CV130" s="102"/>
    </row>
    <row r="131" spans="74:100" ht="22.5" x14ac:dyDescent="1">
      <c r="BV131" s="102"/>
      <c r="BW131" s="102"/>
      <c r="CU131" s="102"/>
      <c r="CV131" s="102"/>
    </row>
    <row r="132" spans="74:100" ht="22.5" x14ac:dyDescent="1">
      <c r="BV132" s="102"/>
      <c r="BW132" s="102"/>
      <c r="CU132" s="102"/>
      <c r="CV132" s="102"/>
    </row>
    <row r="133" spans="74:100" ht="22.5" x14ac:dyDescent="1">
      <c r="BV133" s="102"/>
      <c r="BW133" s="102"/>
      <c r="CU133" s="102"/>
      <c r="CV133" s="102"/>
    </row>
    <row r="134" spans="74:100" ht="22.5" x14ac:dyDescent="1">
      <c r="BV134" s="102"/>
      <c r="BW134" s="102"/>
      <c r="CU134" s="102"/>
      <c r="CV134" s="102"/>
    </row>
    <row r="135" spans="74:100" ht="22.5" x14ac:dyDescent="1">
      <c r="BV135" s="102"/>
      <c r="BW135" s="102"/>
      <c r="CU135" s="102"/>
      <c r="CV135" s="102"/>
    </row>
  </sheetData>
  <mergeCells count="10">
    <mergeCell ref="A2:B2"/>
    <mergeCell ref="P19:W19"/>
    <mergeCell ref="AA19:AH19"/>
    <mergeCell ref="AL19:AS19"/>
    <mergeCell ref="D3:M3"/>
    <mergeCell ref="P2:AS2"/>
    <mergeCell ref="P3:W3"/>
    <mergeCell ref="AA3:AH3"/>
    <mergeCell ref="AL3:AS3"/>
    <mergeCell ref="D19:M19"/>
  </mergeCells>
  <phoneticPr fontId="11" type="noConversion"/>
  <dataValidations count="3">
    <dataValidation type="list" allowBlank="1" showInputMessage="1" showErrorMessage="1" sqref="B3" xr:uid="{42F6F0A4-C2ED-459A-8D4E-35075E2AAB0F}">
      <formula1>$AW$3:$AW$11</formula1>
    </dataValidation>
    <dataValidation type="list" allowBlank="1" showInputMessage="1" showErrorMessage="1" sqref="B5" xr:uid="{1F001690-9100-4ABB-A00F-063CE52AB0A5}">
      <formula1>$BG$3:$BG$28</formula1>
    </dataValidation>
    <dataValidation type="list" allowBlank="1" showInputMessage="1" showErrorMessage="1" sqref="B4" xr:uid="{F2BAA80A-89C4-4717-AE90-B3177C7E6B26}">
      <formula1>$BC$3:$BC$28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0D17DC-402B-4149-8330-517C091910FB}">
          <x14:formula1>
            <xm:f>Listas!$A$3:$A$968</xm:f>
          </x14:formula1>
          <xm:sqref>B6:B9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4A3B7-9692-4447-9BB7-72C586812505}">
  <sheetPr codeName="Planilha5">
    <tabColor rgb="FFFF0000"/>
  </sheetPr>
  <dimension ref="A1:R2169"/>
  <sheetViews>
    <sheetView zoomScaleNormal="100" workbookViewId="0">
      <selection activeCell="A4" sqref="A4"/>
    </sheetView>
  </sheetViews>
  <sheetFormatPr defaultColWidth="9.1328125" defaultRowHeight="15" customHeight="1" x14ac:dyDescent="0.45"/>
  <sheetData>
    <row r="1" spans="1:14" ht="15" customHeight="1" x14ac:dyDescent="0.45">
      <c r="B1" t="s">
        <v>442</v>
      </c>
    </row>
    <row r="2" spans="1:14" ht="15" customHeight="1" thickBot="1" x14ac:dyDescent="0.5"/>
    <row r="3" spans="1:14" ht="15" customHeight="1" thickBot="1" x14ac:dyDescent="0.5">
      <c r="A3" s="23" t="s">
        <v>166</v>
      </c>
      <c r="B3" s="48" t="s">
        <v>167</v>
      </c>
      <c r="M3" s="23"/>
      <c r="N3" s="48"/>
    </row>
    <row r="4" spans="1:14" ht="15" customHeight="1" x14ac:dyDescent="0.45">
      <c r="A4" s="48" t="s">
        <v>1</v>
      </c>
      <c r="B4" s="24"/>
      <c r="M4" s="48"/>
      <c r="N4" s="24"/>
    </row>
    <row r="5" spans="1:14" ht="15" customHeight="1" x14ac:dyDescent="0.45">
      <c r="A5" s="49" t="s">
        <v>2</v>
      </c>
      <c r="B5" s="50"/>
      <c r="M5" s="49"/>
      <c r="N5" s="50"/>
    </row>
    <row r="6" spans="1:14" ht="15" customHeight="1" x14ac:dyDescent="0.45">
      <c r="A6" s="51" t="s">
        <v>3</v>
      </c>
      <c r="B6" s="52"/>
      <c r="M6" s="51"/>
      <c r="N6" s="52"/>
    </row>
    <row r="7" spans="1:14" ht="15" customHeight="1" x14ac:dyDescent="0.45">
      <c r="A7" s="49" t="s">
        <v>4</v>
      </c>
      <c r="B7" s="53"/>
      <c r="M7" s="49"/>
      <c r="N7" s="53"/>
    </row>
    <row r="8" spans="1:14" ht="15" customHeight="1" x14ac:dyDescent="0.45">
      <c r="A8" s="51" t="s">
        <v>5</v>
      </c>
      <c r="B8" s="52"/>
      <c r="M8" s="51"/>
      <c r="N8" s="52"/>
    </row>
    <row r="9" spans="1:14" ht="15" customHeight="1" x14ac:dyDescent="0.45">
      <c r="A9" s="49" t="s">
        <v>6</v>
      </c>
      <c r="B9" s="53"/>
      <c r="M9" s="49"/>
      <c r="N9" s="53"/>
    </row>
    <row r="10" spans="1:14" ht="15" customHeight="1" x14ac:dyDescent="0.45">
      <c r="A10" s="51" t="s">
        <v>7</v>
      </c>
      <c r="B10" s="52"/>
      <c r="M10" s="51"/>
      <c r="N10" s="52"/>
    </row>
    <row r="11" spans="1:14" ht="15" customHeight="1" x14ac:dyDescent="0.45">
      <c r="A11" s="49" t="s">
        <v>8</v>
      </c>
      <c r="B11" s="53"/>
      <c r="M11" s="49"/>
      <c r="N11" s="53"/>
    </row>
    <row r="12" spans="1:14" ht="15" customHeight="1" x14ac:dyDescent="0.45">
      <c r="A12" s="51" t="s">
        <v>9</v>
      </c>
      <c r="B12" s="52"/>
      <c r="M12" s="51"/>
      <c r="N12" s="52"/>
    </row>
    <row r="13" spans="1:14" ht="15" customHeight="1" x14ac:dyDescent="0.45">
      <c r="A13" s="49" t="s">
        <v>10</v>
      </c>
      <c r="B13" s="53"/>
      <c r="M13" s="49"/>
      <c r="N13" s="53"/>
    </row>
    <row r="14" spans="1:14" ht="15" customHeight="1" x14ac:dyDescent="0.45">
      <c r="A14" s="51" t="s">
        <v>11</v>
      </c>
      <c r="B14" s="52"/>
      <c r="M14" s="51"/>
      <c r="N14" s="52"/>
    </row>
    <row r="15" spans="1:14" ht="15" customHeight="1" x14ac:dyDescent="0.45">
      <c r="A15" s="49" t="s">
        <v>12</v>
      </c>
      <c r="B15" s="53"/>
      <c r="M15" s="49"/>
      <c r="N15" s="53"/>
    </row>
    <row r="16" spans="1:14" ht="15" customHeight="1" x14ac:dyDescent="0.45">
      <c r="A16" s="51" t="s">
        <v>13</v>
      </c>
      <c r="B16" s="52"/>
      <c r="M16" s="51"/>
      <c r="N16" s="52"/>
    </row>
    <row r="17" spans="1:17" ht="15" customHeight="1" x14ac:dyDescent="0.45">
      <c r="A17" s="54" t="s">
        <v>14</v>
      </c>
      <c r="B17" s="53"/>
      <c r="M17" s="54"/>
      <c r="N17" s="53"/>
    </row>
    <row r="18" spans="1:17" ht="15" customHeight="1" x14ac:dyDescent="0.45">
      <c r="A18" s="54" t="s">
        <v>376</v>
      </c>
      <c r="B18" s="95"/>
      <c r="M18" s="54"/>
      <c r="N18" s="95"/>
    </row>
    <row r="19" spans="1:17" ht="15" customHeight="1" x14ac:dyDescent="0.45">
      <c r="A19" s="28"/>
      <c r="B19" s="55"/>
      <c r="C19" s="31"/>
      <c r="D19" s="31"/>
      <c r="E19" s="31"/>
      <c r="M19" s="28"/>
      <c r="N19" s="55"/>
      <c r="O19" s="31"/>
      <c r="P19" s="31"/>
      <c r="Q19" s="31"/>
    </row>
    <row r="20" spans="1:17" ht="15" customHeight="1" x14ac:dyDescent="0.45">
      <c r="A20" s="29" t="s">
        <v>213</v>
      </c>
      <c r="B20" s="55"/>
      <c r="C20" s="31"/>
      <c r="D20" s="31"/>
      <c r="E20" s="31"/>
      <c r="M20" s="29"/>
      <c r="N20" s="55"/>
      <c r="O20" s="31"/>
      <c r="P20" s="31"/>
      <c r="Q20" s="31"/>
    </row>
    <row r="21" spans="1:17" ht="15" customHeight="1" thickBot="1" x14ac:dyDescent="0.5"/>
    <row r="22" spans="1:17" ht="15" customHeight="1" thickBot="1" x14ac:dyDescent="0.5">
      <c r="A22" s="23" t="s">
        <v>15</v>
      </c>
      <c r="B22" s="48"/>
      <c r="C22" s="48"/>
      <c r="D22" s="48"/>
      <c r="E22" s="48"/>
      <c r="M22" s="23"/>
      <c r="N22" s="48"/>
      <c r="O22" s="48"/>
      <c r="P22" s="48"/>
      <c r="Q22" s="48"/>
    </row>
    <row r="23" spans="1:17" ht="15" customHeight="1" x14ac:dyDescent="0.45">
      <c r="A23" s="48" t="s">
        <v>32</v>
      </c>
      <c r="B23" s="24"/>
      <c r="C23" s="24"/>
      <c r="D23" s="24"/>
      <c r="E23" s="24"/>
      <c r="M23" s="48"/>
      <c r="N23" s="24"/>
      <c r="O23" s="24"/>
      <c r="P23" s="24"/>
      <c r="Q23" s="24"/>
    </row>
    <row r="24" spans="1:17" ht="15" customHeight="1" x14ac:dyDescent="0.45">
      <c r="A24" s="56" t="s">
        <v>35</v>
      </c>
      <c r="B24" s="20"/>
      <c r="C24" s="20"/>
      <c r="D24" s="20"/>
      <c r="E24" s="20"/>
      <c r="M24" s="56"/>
      <c r="N24" s="20"/>
      <c r="O24" s="20"/>
      <c r="P24" s="20"/>
      <c r="Q24" s="20"/>
    </row>
    <row r="25" spans="1:17" ht="15" customHeight="1" x14ac:dyDescent="0.45">
      <c r="A25" s="56" t="s">
        <v>52</v>
      </c>
      <c r="B25" s="25"/>
      <c r="C25" s="25"/>
      <c r="D25" s="25"/>
      <c r="E25" s="25"/>
      <c r="M25" s="56"/>
      <c r="N25" s="25"/>
      <c r="O25" s="25"/>
      <c r="P25" s="25"/>
      <c r="Q25" s="25"/>
    </row>
    <row r="26" spans="1:17" ht="15" customHeight="1" x14ac:dyDescent="0.45">
      <c r="A26" s="56" t="s">
        <v>37</v>
      </c>
      <c r="B26" s="20"/>
      <c r="C26" s="20"/>
      <c r="D26" s="20"/>
      <c r="E26" s="20"/>
      <c r="M26" s="56"/>
      <c r="N26" s="20"/>
      <c r="O26" s="20"/>
      <c r="P26" s="20"/>
      <c r="Q26" s="20"/>
    </row>
    <row r="27" spans="1:17" ht="15" customHeight="1" x14ac:dyDescent="0.45">
      <c r="A27" s="56" t="s">
        <v>39</v>
      </c>
      <c r="B27" s="25"/>
      <c r="C27" s="25"/>
      <c r="D27" s="25"/>
      <c r="E27" s="25"/>
      <c r="M27" s="56"/>
      <c r="N27" s="25"/>
      <c r="O27" s="25"/>
      <c r="P27" s="25"/>
      <c r="Q27" s="25"/>
    </row>
    <row r="28" spans="1:17" ht="15" customHeight="1" x14ac:dyDescent="0.45">
      <c r="A28" s="56" t="s">
        <v>41</v>
      </c>
      <c r="B28" s="20"/>
      <c r="C28" s="20"/>
      <c r="D28" s="20"/>
      <c r="E28" s="20"/>
      <c r="M28" s="56"/>
      <c r="N28" s="20"/>
      <c r="O28" s="20"/>
      <c r="P28" s="20"/>
      <c r="Q28" s="20"/>
    </row>
    <row r="29" spans="1:17" ht="15" customHeight="1" x14ac:dyDescent="0.45">
      <c r="A29" s="56" t="s">
        <v>43</v>
      </c>
      <c r="B29" s="25"/>
      <c r="C29" s="25"/>
      <c r="D29" s="25"/>
      <c r="E29" s="25"/>
      <c r="M29" s="56"/>
      <c r="N29" s="25"/>
      <c r="O29" s="25"/>
      <c r="P29" s="25"/>
      <c r="Q29" s="25"/>
    </row>
    <row r="30" spans="1:17" ht="15" customHeight="1" x14ac:dyDescent="0.45">
      <c r="A30" s="56" t="s">
        <v>45</v>
      </c>
      <c r="B30" s="20"/>
      <c r="C30" s="20"/>
      <c r="D30" s="20"/>
      <c r="E30" s="20"/>
      <c r="M30" s="56"/>
      <c r="N30" s="20"/>
      <c r="O30" s="20"/>
      <c r="P30" s="20"/>
      <c r="Q30" s="20"/>
    </row>
    <row r="31" spans="1:17" ht="15" customHeight="1" x14ac:dyDescent="0.45">
      <c r="A31" s="56" t="s">
        <v>46</v>
      </c>
      <c r="B31" s="25"/>
      <c r="C31" s="25"/>
      <c r="D31" s="25"/>
      <c r="E31" s="25"/>
      <c r="M31" s="56"/>
      <c r="N31" s="25"/>
      <c r="O31" s="25"/>
      <c r="P31" s="25"/>
      <c r="Q31" s="25"/>
    </row>
    <row r="32" spans="1:17" ht="15" customHeight="1" x14ac:dyDescent="0.45">
      <c r="A32" s="56" t="s">
        <v>47</v>
      </c>
      <c r="B32" s="20"/>
      <c r="C32" s="20"/>
      <c r="D32" s="20"/>
      <c r="E32" s="20"/>
      <c r="M32" s="56"/>
      <c r="N32" s="20"/>
      <c r="O32" s="20"/>
      <c r="P32" s="20"/>
      <c r="Q32" s="20"/>
    </row>
    <row r="33" spans="1:17" ht="15" customHeight="1" x14ac:dyDescent="0.45">
      <c r="A33" s="56" t="s">
        <v>214</v>
      </c>
      <c r="B33" s="25"/>
      <c r="C33" s="25"/>
      <c r="D33" s="25"/>
      <c r="E33" s="25"/>
      <c r="M33" s="56"/>
      <c r="N33" s="25"/>
      <c r="O33" s="25"/>
      <c r="P33" s="25"/>
      <c r="Q33" s="25"/>
    </row>
    <row r="34" spans="1:17" ht="15" customHeight="1" x14ac:dyDescent="0.45">
      <c r="A34" s="56" t="s">
        <v>48</v>
      </c>
      <c r="B34" s="20"/>
      <c r="C34" s="20"/>
      <c r="D34" s="20"/>
      <c r="E34" s="20"/>
      <c r="M34" s="56"/>
      <c r="N34" s="20"/>
      <c r="O34" s="20"/>
      <c r="P34" s="20"/>
      <c r="Q34" s="20"/>
    </row>
    <row r="35" spans="1:17" ht="15" customHeight="1" x14ac:dyDescent="0.45">
      <c r="A35" s="56" t="s">
        <v>49</v>
      </c>
      <c r="B35" s="25"/>
      <c r="C35" s="25"/>
      <c r="D35" s="25"/>
      <c r="E35" s="25"/>
      <c r="M35" s="56"/>
      <c r="N35" s="25"/>
      <c r="O35" s="25"/>
      <c r="P35" s="25"/>
      <c r="Q35" s="25"/>
    </row>
    <row r="36" spans="1:17" ht="15" customHeight="1" x14ac:dyDescent="0.45">
      <c r="A36" s="56" t="s">
        <v>215</v>
      </c>
      <c r="B36" s="20"/>
      <c r="C36" s="20"/>
      <c r="D36" s="20"/>
      <c r="E36" s="20"/>
      <c r="M36" s="56"/>
      <c r="N36" s="20"/>
      <c r="O36" s="20"/>
      <c r="P36" s="20"/>
      <c r="Q36" s="20"/>
    </row>
    <row r="37" spans="1:17" ht="15" customHeight="1" x14ac:dyDescent="0.45">
      <c r="A37" s="56" t="s">
        <v>216</v>
      </c>
      <c r="B37" s="25"/>
      <c r="C37" s="25"/>
      <c r="D37" s="25"/>
      <c r="E37" s="25"/>
      <c r="M37" s="56"/>
      <c r="N37" s="25"/>
      <c r="O37" s="25"/>
      <c r="P37" s="25"/>
      <c r="Q37" s="25"/>
    </row>
    <row r="38" spans="1:17" ht="15" customHeight="1" x14ac:dyDescent="0.45">
      <c r="A38" s="56" t="s">
        <v>55</v>
      </c>
      <c r="B38" s="20"/>
      <c r="C38" s="20"/>
      <c r="D38" s="20"/>
      <c r="E38" s="20"/>
      <c r="M38" s="56"/>
      <c r="N38" s="20"/>
      <c r="O38" s="20"/>
      <c r="P38" s="20"/>
      <c r="Q38" s="20"/>
    </row>
    <row r="39" spans="1:17" ht="15" customHeight="1" x14ac:dyDescent="0.45">
      <c r="A39" s="56" t="s">
        <v>56</v>
      </c>
      <c r="B39" s="25"/>
      <c r="C39" s="25"/>
      <c r="D39" s="25"/>
      <c r="E39" s="25"/>
      <c r="M39" s="56"/>
      <c r="N39" s="25"/>
      <c r="O39" s="25"/>
      <c r="P39" s="25"/>
      <c r="Q39" s="25"/>
    </row>
    <row r="40" spans="1:17" ht="15" customHeight="1" thickBot="1" x14ac:dyDescent="0.5">
      <c r="A40" s="57" t="s">
        <v>57</v>
      </c>
      <c r="B40" s="26"/>
      <c r="C40" s="26"/>
      <c r="D40" s="26"/>
      <c r="E40" s="26"/>
      <c r="M40" s="57"/>
      <c r="N40" s="26"/>
      <c r="O40" s="26"/>
      <c r="P40" s="26"/>
      <c r="Q40" s="26"/>
    </row>
    <row r="41" spans="1:17" ht="15" customHeight="1" thickBot="1" x14ac:dyDescent="0.5"/>
    <row r="42" spans="1:17" ht="15" customHeight="1" thickBot="1" x14ac:dyDescent="0.5">
      <c r="A42" s="23" t="s">
        <v>50</v>
      </c>
      <c r="B42" s="48"/>
      <c r="C42" s="48"/>
      <c r="D42" s="48"/>
      <c r="E42" s="48"/>
      <c r="M42" s="23"/>
      <c r="N42" s="48"/>
      <c r="O42" s="48"/>
      <c r="P42" s="48"/>
      <c r="Q42" s="48"/>
    </row>
    <row r="43" spans="1:17" ht="15" customHeight="1" x14ac:dyDescent="0.45">
      <c r="A43" s="48" t="s">
        <v>217</v>
      </c>
      <c r="B43" s="24"/>
      <c r="C43" s="24"/>
      <c r="D43" s="24"/>
      <c r="E43" s="24"/>
      <c r="M43" s="48"/>
      <c r="N43" s="24"/>
      <c r="O43" s="24"/>
      <c r="P43" s="24"/>
      <c r="Q43" s="24"/>
    </row>
    <row r="44" spans="1:17" ht="15" customHeight="1" x14ac:dyDescent="0.45">
      <c r="A44" s="56" t="s">
        <v>32</v>
      </c>
      <c r="B44" s="20"/>
      <c r="C44" s="20"/>
      <c r="D44" s="20"/>
      <c r="E44" s="20"/>
      <c r="M44" s="56"/>
      <c r="N44" s="20"/>
      <c r="O44" s="20"/>
      <c r="P44" s="20"/>
      <c r="Q44" s="20"/>
    </row>
    <row r="45" spans="1:17" ht="15" customHeight="1" x14ac:dyDescent="0.45">
      <c r="A45" s="56" t="s">
        <v>52</v>
      </c>
      <c r="B45" s="25"/>
      <c r="C45" s="25"/>
      <c r="D45" s="25"/>
      <c r="E45" s="25"/>
      <c r="M45" s="56"/>
      <c r="N45" s="25"/>
      <c r="O45" s="25"/>
      <c r="P45" s="25"/>
      <c r="Q45" s="25"/>
    </row>
    <row r="46" spans="1:17" ht="15" customHeight="1" x14ac:dyDescent="0.45">
      <c r="A46" s="56" t="s">
        <v>39</v>
      </c>
      <c r="B46" s="20"/>
      <c r="C46" s="20"/>
      <c r="D46" s="20"/>
      <c r="E46" s="20"/>
      <c r="M46" s="56"/>
      <c r="N46" s="20"/>
      <c r="O46" s="20"/>
      <c r="P46" s="20"/>
      <c r="Q46" s="20"/>
    </row>
    <row r="47" spans="1:17" ht="15" customHeight="1" x14ac:dyDescent="0.45">
      <c r="A47" s="56" t="s">
        <v>41</v>
      </c>
      <c r="B47" s="25"/>
      <c r="C47" s="25"/>
      <c r="D47" s="25"/>
      <c r="E47" s="25"/>
      <c r="M47" s="56"/>
      <c r="N47" s="25"/>
      <c r="O47" s="25"/>
      <c r="P47" s="25"/>
      <c r="Q47" s="25"/>
    </row>
    <row r="48" spans="1:17" ht="15" customHeight="1" x14ac:dyDescent="0.45">
      <c r="A48" s="56" t="s">
        <v>43</v>
      </c>
      <c r="B48" s="20"/>
      <c r="C48" s="20"/>
      <c r="D48" s="20"/>
      <c r="E48" s="20"/>
      <c r="M48" s="56"/>
      <c r="N48" s="20"/>
      <c r="O48" s="20"/>
      <c r="P48" s="20"/>
      <c r="Q48" s="20"/>
    </row>
    <row r="49" spans="1:17" ht="15" customHeight="1" x14ac:dyDescent="0.45">
      <c r="A49" s="56" t="s">
        <v>45</v>
      </c>
      <c r="B49" s="25"/>
      <c r="C49" s="25"/>
      <c r="D49" s="25"/>
      <c r="E49" s="25"/>
      <c r="M49" s="56"/>
      <c r="N49" s="25"/>
      <c r="O49" s="25"/>
      <c r="P49" s="25"/>
      <c r="Q49" s="25"/>
    </row>
    <row r="50" spans="1:17" ht="15" customHeight="1" x14ac:dyDescent="0.45">
      <c r="A50" s="56" t="s">
        <v>46</v>
      </c>
      <c r="B50" s="20"/>
      <c r="C50" s="20"/>
      <c r="D50" s="20"/>
      <c r="E50" s="20"/>
      <c r="M50" s="56"/>
      <c r="N50" s="20"/>
      <c r="O50" s="20"/>
      <c r="P50" s="20"/>
      <c r="Q50" s="20"/>
    </row>
    <row r="51" spans="1:17" ht="15" customHeight="1" x14ac:dyDescent="0.45">
      <c r="A51" s="56" t="s">
        <v>53</v>
      </c>
      <c r="B51" s="25"/>
      <c r="C51" s="25"/>
      <c r="D51" s="25"/>
      <c r="E51" s="25"/>
      <c r="M51" s="56"/>
      <c r="N51" s="25"/>
      <c r="O51" s="25"/>
      <c r="P51" s="25"/>
      <c r="Q51" s="25"/>
    </row>
    <row r="52" spans="1:17" ht="15" customHeight="1" x14ac:dyDescent="0.45">
      <c r="A52" s="56" t="s">
        <v>54</v>
      </c>
      <c r="B52" s="20"/>
      <c r="C52" s="20"/>
      <c r="D52" s="20"/>
      <c r="E52" s="20"/>
      <c r="M52" s="56"/>
      <c r="N52" s="20"/>
      <c r="O52" s="20"/>
      <c r="P52" s="20"/>
      <c r="Q52" s="20"/>
    </row>
    <row r="53" spans="1:17" ht="15" customHeight="1" x14ac:dyDescent="0.45">
      <c r="A53" s="56" t="s">
        <v>47</v>
      </c>
      <c r="B53" s="25"/>
      <c r="C53" s="25"/>
      <c r="D53" s="25"/>
      <c r="E53" s="25"/>
      <c r="M53" s="56"/>
      <c r="N53" s="25"/>
      <c r="O53" s="25"/>
      <c r="P53" s="25"/>
      <c r="Q53" s="25"/>
    </row>
    <row r="54" spans="1:17" ht="15" customHeight="1" x14ac:dyDescent="0.45">
      <c r="A54" s="56" t="s">
        <v>215</v>
      </c>
      <c r="B54" s="20"/>
      <c r="C54" s="20"/>
      <c r="D54" s="20"/>
      <c r="E54" s="20"/>
      <c r="M54" s="56"/>
      <c r="N54" s="20"/>
      <c r="O54" s="20"/>
      <c r="P54" s="20"/>
      <c r="Q54" s="20"/>
    </row>
    <row r="55" spans="1:17" ht="15" customHeight="1" x14ac:dyDescent="0.45">
      <c r="A55" s="56" t="s">
        <v>216</v>
      </c>
      <c r="B55" s="25"/>
      <c r="C55" s="25"/>
      <c r="D55" s="25"/>
      <c r="E55" s="25"/>
      <c r="M55" s="56"/>
      <c r="N55" s="25"/>
      <c r="O55" s="25"/>
      <c r="P55" s="25"/>
      <c r="Q55" s="25"/>
    </row>
    <row r="56" spans="1:17" ht="15" customHeight="1" x14ac:dyDescent="0.45">
      <c r="A56" s="56" t="s">
        <v>55</v>
      </c>
      <c r="B56" s="20"/>
      <c r="C56" s="20"/>
      <c r="D56" s="20"/>
      <c r="E56" s="20"/>
      <c r="M56" s="56"/>
      <c r="N56" s="20"/>
      <c r="O56" s="20"/>
      <c r="P56" s="20"/>
      <c r="Q56" s="20"/>
    </row>
    <row r="57" spans="1:17" ht="15" customHeight="1" x14ac:dyDescent="0.45">
      <c r="A57" s="56" t="s">
        <v>56</v>
      </c>
      <c r="B57" s="25"/>
      <c r="C57" s="25"/>
      <c r="D57" s="25"/>
      <c r="E57" s="25"/>
      <c r="M57" s="56"/>
      <c r="N57" s="25"/>
      <c r="O57" s="25"/>
      <c r="P57" s="25"/>
      <c r="Q57" s="25"/>
    </row>
    <row r="58" spans="1:17" ht="15" customHeight="1" x14ac:dyDescent="0.45">
      <c r="A58" s="56" t="s">
        <v>57</v>
      </c>
      <c r="B58" s="20"/>
      <c r="C58" s="20"/>
      <c r="D58" s="20"/>
      <c r="E58" s="20"/>
      <c r="M58" s="56"/>
      <c r="N58" s="20"/>
      <c r="O58" s="20"/>
      <c r="P58" s="20"/>
      <c r="Q58" s="20"/>
    </row>
    <row r="59" spans="1:17" ht="15" customHeight="1" x14ac:dyDescent="0.45">
      <c r="A59" s="56" t="s">
        <v>218</v>
      </c>
      <c r="B59" s="25"/>
      <c r="C59" s="25"/>
      <c r="D59" s="25"/>
      <c r="E59" s="25"/>
      <c r="M59" s="56"/>
      <c r="N59" s="25"/>
      <c r="O59" s="25"/>
      <c r="P59" s="25"/>
      <c r="Q59" s="25"/>
    </row>
    <row r="60" spans="1:17" ht="15" customHeight="1" thickBot="1" x14ac:dyDescent="0.5">
      <c r="A60" s="57" t="s">
        <v>219</v>
      </c>
      <c r="B60" s="26"/>
      <c r="C60" s="26"/>
      <c r="D60" s="26"/>
      <c r="E60" s="26"/>
      <c r="M60" s="57"/>
      <c r="N60" s="26"/>
      <c r="O60" s="26"/>
      <c r="P60" s="26"/>
      <c r="Q60" s="26"/>
    </row>
    <row r="61" spans="1:17" ht="15" customHeight="1" thickBot="1" x14ac:dyDescent="0.5"/>
    <row r="62" spans="1:17" ht="15" customHeight="1" thickBot="1" x14ac:dyDescent="0.5">
      <c r="A62" s="23" t="s">
        <v>58</v>
      </c>
      <c r="B62" s="48"/>
      <c r="C62" s="48"/>
      <c r="D62" s="48"/>
      <c r="E62" s="48"/>
      <c r="M62" s="23"/>
      <c r="N62" s="48"/>
      <c r="O62" s="48"/>
      <c r="P62" s="48"/>
      <c r="Q62" s="48"/>
    </row>
    <row r="63" spans="1:17" ht="15" customHeight="1" x14ac:dyDescent="0.45">
      <c r="A63" s="48" t="s">
        <v>60</v>
      </c>
      <c r="B63" s="24"/>
      <c r="C63" s="24"/>
      <c r="D63" s="24"/>
      <c r="E63" s="24"/>
      <c r="M63" s="48"/>
      <c r="N63" s="24"/>
      <c r="O63" s="24"/>
      <c r="P63" s="24"/>
      <c r="Q63" s="24"/>
    </row>
    <row r="64" spans="1:17" ht="15" customHeight="1" x14ac:dyDescent="0.45">
      <c r="A64" s="56" t="s">
        <v>62</v>
      </c>
      <c r="B64" s="20"/>
      <c r="C64" s="20"/>
      <c r="D64" s="20"/>
      <c r="E64" s="20"/>
      <c r="M64" s="56"/>
      <c r="N64" s="20"/>
      <c r="O64" s="20"/>
      <c r="P64" s="20"/>
      <c r="Q64" s="20"/>
    </row>
    <row r="65" spans="1:17" ht="15" customHeight="1" x14ac:dyDescent="0.45">
      <c r="A65" s="56" t="s">
        <v>64</v>
      </c>
      <c r="B65" s="25"/>
      <c r="C65" s="25"/>
      <c r="D65" s="25"/>
      <c r="E65" s="25"/>
      <c r="M65" s="56"/>
      <c r="N65" s="25"/>
      <c r="O65" s="25"/>
      <c r="P65" s="25"/>
      <c r="Q65" s="25"/>
    </row>
    <row r="66" spans="1:17" ht="15" customHeight="1" x14ac:dyDescent="0.45">
      <c r="A66" s="56" t="s">
        <v>66</v>
      </c>
      <c r="B66" s="20"/>
      <c r="C66" s="20"/>
      <c r="D66" s="20"/>
      <c r="E66" s="20"/>
      <c r="M66" s="56"/>
      <c r="N66" s="20"/>
      <c r="O66" s="20"/>
      <c r="P66" s="20"/>
      <c r="Q66" s="20"/>
    </row>
    <row r="67" spans="1:17" ht="15" customHeight="1" x14ac:dyDescent="0.45">
      <c r="A67" s="56" t="s">
        <v>68</v>
      </c>
      <c r="B67" s="25"/>
      <c r="C67" s="25"/>
      <c r="D67" s="25"/>
      <c r="E67" s="25"/>
      <c r="M67" s="56"/>
      <c r="N67" s="25"/>
      <c r="O67" s="25"/>
      <c r="P67" s="25"/>
      <c r="Q67" s="25"/>
    </row>
    <row r="68" spans="1:17" ht="15" customHeight="1" x14ac:dyDescent="0.45">
      <c r="A68" s="56" t="s">
        <v>220</v>
      </c>
      <c r="B68" s="20"/>
      <c r="C68" s="20"/>
      <c r="D68" s="20"/>
      <c r="E68" s="20"/>
      <c r="M68" s="56"/>
      <c r="N68" s="20"/>
      <c r="O68" s="20"/>
      <c r="P68" s="20"/>
      <c r="Q68" s="20"/>
    </row>
    <row r="69" spans="1:17" ht="15" customHeight="1" x14ac:dyDescent="0.45">
      <c r="A69" s="49" t="s">
        <v>69</v>
      </c>
      <c r="B69" s="58"/>
      <c r="C69" s="58"/>
      <c r="D69" s="58"/>
      <c r="E69" s="58"/>
      <c r="M69" s="49"/>
      <c r="N69" s="58"/>
      <c r="O69" s="58"/>
      <c r="P69" s="58"/>
      <c r="Q69" s="58"/>
    </row>
    <row r="70" spans="1:17" ht="15" customHeight="1" thickBot="1" x14ac:dyDescent="0.5">
      <c r="A70" s="59" t="s">
        <v>70</v>
      </c>
      <c r="B70" s="60"/>
      <c r="C70" s="60"/>
      <c r="D70" s="60"/>
      <c r="E70" s="60"/>
      <c r="M70" s="59"/>
      <c r="N70" s="60"/>
      <c r="O70" s="60"/>
      <c r="P70" s="60"/>
      <c r="Q70" s="60"/>
    </row>
    <row r="71" spans="1:17" ht="15" customHeight="1" thickBot="1" x14ac:dyDescent="0.5"/>
    <row r="72" spans="1:17" ht="15" customHeight="1" thickBot="1" x14ac:dyDescent="0.5">
      <c r="A72" s="23" t="s">
        <v>377</v>
      </c>
      <c r="B72" s="48"/>
      <c r="C72" s="48"/>
      <c r="D72" s="48"/>
      <c r="E72" s="48"/>
      <c r="M72" s="23"/>
      <c r="N72" s="48"/>
      <c r="O72" s="48"/>
      <c r="P72" s="48"/>
      <c r="Q72" s="48"/>
    </row>
    <row r="73" spans="1:17" ht="15" customHeight="1" x14ac:dyDescent="0.45">
      <c r="A73" s="48" t="s">
        <v>71</v>
      </c>
      <c r="B73" s="24"/>
      <c r="C73" s="24"/>
      <c r="D73" s="24"/>
      <c r="E73" s="24"/>
      <c r="M73" s="48"/>
      <c r="N73" s="24"/>
      <c r="O73" s="24"/>
      <c r="P73" s="24"/>
      <c r="Q73" s="24"/>
    </row>
    <row r="74" spans="1:17" ht="15" customHeight="1" x14ac:dyDescent="0.45">
      <c r="A74" s="56" t="s">
        <v>72</v>
      </c>
      <c r="B74" s="20"/>
      <c r="C74" s="20"/>
      <c r="D74" s="20"/>
      <c r="E74" s="20"/>
      <c r="M74" s="56"/>
      <c r="N74" s="20"/>
      <c r="O74" s="20"/>
      <c r="P74" s="20"/>
      <c r="Q74" s="20"/>
    </row>
    <row r="75" spans="1:17" ht="15" customHeight="1" x14ac:dyDescent="0.45">
      <c r="A75" s="56" t="s">
        <v>73</v>
      </c>
      <c r="B75" s="25"/>
      <c r="C75" s="25"/>
      <c r="D75" s="25"/>
      <c r="E75" s="25"/>
      <c r="M75" s="56"/>
      <c r="N75" s="25"/>
      <c r="O75" s="25"/>
      <c r="P75" s="25"/>
      <c r="Q75" s="25"/>
    </row>
    <row r="76" spans="1:17" ht="15" customHeight="1" x14ac:dyDescent="0.45">
      <c r="A76" s="56" t="s">
        <v>74</v>
      </c>
      <c r="B76" s="20"/>
      <c r="C76" s="20"/>
      <c r="D76" s="20"/>
      <c r="E76" s="20"/>
      <c r="M76" s="56"/>
      <c r="N76" s="20"/>
      <c r="O76" s="20"/>
      <c r="P76" s="20"/>
      <c r="Q76" s="20"/>
    </row>
    <row r="77" spans="1:17" ht="15" customHeight="1" x14ac:dyDescent="0.45">
      <c r="A77" s="56" t="s">
        <v>75</v>
      </c>
      <c r="B77" s="25"/>
      <c r="C77" s="25"/>
      <c r="D77" s="25"/>
      <c r="E77" s="25"/>
      <c r="M77" s="56"/>
      <c r="N77" s="25"/>
      <c r="O77" s="25"/>
      <c r="P77" s="25"/>
      <c r="Q77" s="25"/>
    </row>
    <row r="78" spans="1:17" ht="15" customHeight="1" x14ac:dyDescent="0.45">
      <c r="A78" s="56" t="s">
        <v>76</v>
      </c>
      <c r="B78" s="20"/>
      <c r="C78" s="20"/>
      <c r="D78" s="20"/>
      <c r="E78" s="20"/>
      <c r="M78" s="56"/>
      <c r="N78" s="20"/>
      <c r="O78" s="20"/>
      <c r="P78" s="20"/>
      <c r="Q78" s="20"/>
    </row>
    <row r="79" spans="1:17" ht="15" customHeight="1" x14ac:dyDescent="0.45">
      <c r="A79" s="56" t="s">
        <v>77</v>
      </c>
      <c r="B79" s="25"/>
      <c r="C79" s="25"/>
      <c r="D79" s="25"/>
      <c r="E79" s="25"/>
      <c r="M79" s="56"/>
      <c r="N79" s="25"/>
      <c r="O79" s="25"/>
      <c r="P79" s="25"/>
      <c r="Q79" s="25"/>
    </row>
    <row r="80" spans="1:17" ht="15" customHeight="1" x14ac:dyDescent="0.45">
      <c r="A80" s="56" t="s">
        <v>78</v>
      </c>
      <c r="B80" s="20"/>
      <c r="C80" s="20"/>
      <c r="D80" s="20"/>
      <c r="E80" s="20"/>
      <c r="M80" s="56"/>
      <c r="N80" s="20"/>
      <c r="O80" s="20"/>
      <c r="P80" s="20"/>
      <c r="Q80" s="20"/>
    </row>
    <row r="81" spans="1:17" ht="15" customHeight="1" x14ac:dyDescent="0.45">
      <c r="A81" s="56" t="s">
        <v>79</v>
      </c>
      <c r="B81" s="25"/>
      <c r="C81" s="25"/>
      <c r="D81" s="25"/>
      <c r="E81" s="25"/>
      <c r="M81" s="56"/>
      <c r="N81" s="25"/>
      <c r="O81" s="25"/>
      <c r="P81" s="25"/>
      <c r="Q81" s="25"/>
    </row>
    <row r="82" spans="1:17" ht="15" customHeight="1" x14ac:dyDescent="0.45">
      <c r="A82" s="56" t="s">
        <v>80</v>
      </c>
      <c r="B82" s="20"/>
      <c r="C82" s="20"/>
      <c r="D82" s="20"/>
      <c r="E82" s="20"/>
      <c r="M82" s="56"/>
      <c r="N82" s="20"/>
      <c r="O82" s="20"/>
      <c r="P82" s="20"/>
      <c r="Q82" s="20"/>
    </row>
    <row r="83" spans="1:17" ht="15" customHeight="1" x14ac:dyDescent="0.45">
      <c r="A83" s="56" t="s">
        <v>81</v>
      </c>
      <c r="B83" s="25"/>
      <c r="C83" s="25"/>
      <c r="D83" s="25"/>
      <c r="E83" s="25"/>
      <c r="M83" s="56"/>
      <c r="N83" s="25"/>
      <c r="O83" s="25"/>
      <c r="P83" s="25"/>
      <c r="Q83" s="25"/>
    </row>
    <row r="84" spans="1:17" ht="15" customHeight="1" x14ac:dyDescent="0.45">
      <c r="A84" s="56" t="s">
        <v>82</v>
      </c>
      <c r="B84" s="20"/>
      <c r="C84" s="20"/>
      <c r="D84" s="20"/>
      <c r="E84" s="20"/>
      <c r="M84" s="56"/>
      <c r="N84" s="20"/>
      <c r="O84" s="20"/>
      <c r="P84" s="20"/>
      <c r="Q84" s="20"/>
    </row>
    <row r="85" spans="1:17" ht="15" customHeight="1" x14ac:dyDescent="0.45">
      <c r="A85" s="56" t="s">
        <v>83</v>
      </c>
      <c r="B85" s="25"/>
      <c r="C85" s="25"/>
      <c r="D85" s="25"/>
      <c r="E85" s="25"/>
      <c r="M85" s="56"/>
      <c r="N85" s="25"/>
      <c r="O85" s="25"/>
      <c r="P85" s="25"/>
      <c r="Q85" s="25"/>
    </row>
    <row r="86" spans="1:17" ht="15" customHeight="1" x14ac:dyDescent="0.45">
      <c r="A86" s="56" t="s">
        <v>84</v>
      </c>
      <c r="B86" s="20"/>
      <c r="C86" s="20"/>
      <c r="D86" s="20"/>
      <c r="E86" s="20"/>
      <c r="M86" s="56"/>
      <c r="N86" s="20"/>
      <c r="O86" s="20"/>
      <c r="P86" s="20"/>
      <c r="Q86" s="20"/>
    </row>
    <row r="87" spans="1:17" ht="15" customHeight="1" thickBot="1" x14ac:dyDescent="0.5">
      <c r="A87" s="57" t="s">
        <v>86</v>
      </c>
      <c r="B87" s="27"/>
      <c r="C87" s="27"/>
      <c r="D87" s="27"/>
      <c r="E87" s="27"/>
      <c r="M87" s="57"/>
      <c r="N87" s="27"/>
      <c r="O87" s="27"/>
      <c r="P87" s="27"/>
      <c r="Q87" s="27"/>
    </row>
    <row r="88" spans="1:17" ht="15" customHeight="1" thickBot="1" x14ac:dyDescent="0.5"/>
    <row r="89" spans="1:17" ht="15" customHeight="1" thickBot="1" x14ac:dyDescent="0.5">
      <c r="A89" s="61" t="s">
        <v>378</v>
      </c>
      <c r="B89" s="48"/>
      <c r="C89" s="48"/>
      <c r="D89" s="48"/>
      <c r="E89" s="48"/>
      <c r="M89" s="61"/>
      <c r="N89" s="48"/>
      <c r="O89" s="48"/>
      <c r="P89" s="48"/>
      <c r="Q89" s="48"/>
    </row>
    <row r="90" spans="1:17" ht="15" customHeight="1" x14ac:dyDescent="0.45">
      <c r="A90" s="62" t="s">
        <v>71</v>
      </c>
      <c r="B90" s="24"/>
      <c r="C90" s="24"/>
      <c r="D90" s="24"/>
      <c r="E90" s="24"/>
      <c r="M90" s="62"/>
      <c r="N90" s="24"/>
      <c r="O90" s="24"/>
      <c r="P90" s="24"/>
      <c r="Q90" s="24"/>
    </row>
    <row r="91" spans="1:17" ht="15" customHeight="1" x14ac:dyDescent="0.45">
      <c r="A91" s="62" t="s">
        <v>72</v>
      </c>
      <c r="B91" s="20"/>
      <c r="C91" s="20"/>
      <c r="D91" s="20"/>
      <c r="E91" s="20"/>
      <c r="M91" s="62"/>
      <c r="N91" s="20"/>
      <c r="O91" s="20"/>
      <c r="P91" s="20"/>
      <c r="Q91" s="20"/>
    </row>
    <row r="92" spans="1:17" ht="15" customHeight="1" x14ac:dyDescent="0.45">
      <c r="A92" s="62" t="s">
        <v>73</v>
      </c>
      <c r="B92" s="25"/>
      <c r="C92" s="25"/>
      <c r="D92" s="25"/>
      <c r="E92" s="25"/>
      <c r="M92" s="62"/>
      <c r="N92" s="25"/>
      <c r="O92" s="25"/>
      <c r="P92" s="25"/>
      <c r="Q92" s="25"/>
    </row>
    <row r="93" spans="1:17" ht="15" customHeight="1" x14ac:dyDescent="0.45">
      <c r="A93" s="62" t="s">
        <v>74</v>
      </c>
      <c r="B93" s="20"/>
      <c r="C93" s="20"/>
      <c r="D93" s="20"/>
      <c r="E93" s="20"/>
      <c r="M93" s="62"/>
      <c r="N93" s="20"/>
      <c r="O93" s="20"/>
      <c r="P93" s="20"/>
      <c r="Q93" s="20"/>
    </row>
    <row r="94" spans="1:17" ht="15" customHeight="1" x14ac:dyDescent="0.45">
      <c r="A94" s="62" t="s">
        <v>221</v>
      </c>
      <c r="B94" s="25"/>
      <c r="C94" s="25"/>
      <c r="D94" s="25"/>
      <c r="E94" s="25"/>
      <c r="M94" s="62"/>
      <c r="N94" s="25"/>
      <c r="O94" s="25"/>
      <c r="P94" s="25"/>
      <c r="Q94" s="25"/>
    </row>
    <row r="95" spans="1:17" ht="15" customHeight="1" x14ac:dyDescent="0.45">
      <c r="A95" s="62" t="s">
        <v>222</v>
      </c>
      <c r="B95" s="20"/>
      <c r="C95" s="20"/>
      <c r="D95" s="20"/>
      <c r="E95" s="20"/>
      <c r="M95" s="62"/>
      <c r="N95" s="20"/>
      <c r="O95" s="20"/>
      <c r="P95" s="20"/>
      <c r="Q95" s="20"/>
    </row>
    <row r="96" spans="1:17" ht="15" customHeight="1" x14ac:dyDescent="0.45">
      <c r="A96" s="62" t="s">
        <v>75</v>
      </c>
      <c r="B96" s="25"/>
      <c r="C96" s="25"/>
      <c r="D96" s="25"/>
      <c r="E96" s="25"/>
      <c r="M96" s="62"/>
      <c r="N96" s="25"/>
      <c r="O96" s="25"/>
      <c r="P96" s="25"/>
      <c r="Q96" s="25"/>
    </row>
    <row r="97" spans="1:17" ht="15" customHeight="1" x14ac:dyDescent="0.45">
      <c r="A97" s="62" t="s">
        <v>76</v>
      </c>
      <c r="B97" s="20"/>
      <c r="C97" s="20"/>
      <c r="D97" s="20"/>
      <c r="E97" s="20"/>
      <c r="M97" s="62"/>
      <c r="N97" s="20"/>
      <c r="O97" s="20"/>
      <c r="P97" s="20"/>
      <c r="Q97" s="20"/>
    </row>
    <row r="98" spans="1:17" ht="15" customHeight="1" x14ac:dyDescent="0.45">
      <c r="A98" s="62" t="s">
        <v>77</v>
      </c>
      <c r="B98" s="25"/>
      <c r="C98" s="25"/>
      <c r="D98" s="25"/>
      <c r="E98" s="25"/>
      <c r="M98" s="62"/>
      <c r="N98" s="25"/>
      <c r="O98" s="25"/>
      <c r="P98" s="25"/>
      <c r="Q98" s="25"/>
    </row>
    <row r="99" spans="1:17" ht="15" customHeight="1" x14ac:dyDescent="0.45">
      <c r="A99" s="62" t="s">
        <v>78</v>
      </c>
      <c r="B99" s="20"/>
      <c r="C99" s="20"/>
      <c r="D99" s="20"/>
      <c r="E99" s="20"/>
      <c r="M99" s="62"/>
      <c r="N99" s="20"/>
      <c r="O99" s="20"/>
      <c r="P99" s="20"/>
      <c r="Q99" s="20"/>
    </row>
    <row r="100" spans="1:17" ht="15" customHeight="1" x14ac:dyDescent="0.45">
      <c r="A100" s="62" t="s">
        <v>79</v>
      </c>
      <c r="B100" s="25"/>
      <c r="C100" s="25"/>
      <c r="D100" s="25"/>
      <c r="E100" s="25"/>
      <c r="M100" s="62"/>
      <c r="N100" s="25"/>
      <c r="O100" s="25"/>
      <c r="P100" s="25"/>
      <c r="Q100" s="25"/>
    </row>
    <row r="101" spans="1:17" ht="15" customHeight="1" x14ac:dyDescent="0.45">
      <c r="A101" s="62" t="s">
        <v>80</v>
      </c>
      <c r="B101" s="20"/>
      <c r="C101" s="20"/>
      <c r="D101" s="20"/>
      <c r="E101" s="20"/>
      <c r="M101" s="62"/>
      <c r="N101" s="20"/>
      <c r="O101" s="20"/>
      <c r="P101" s="20"/>
      <c r="Q101" s="20"/>
    </row>
    <row r="102" spans="1:17" ht="15" customHeight="1" x14ac:dyDescent="0.45">
      <c r="A102" s="62" t="s">
        <v>81</v>
      </c>
      <c r="B102" s="25"/>
      <c r="C102" s="25"/>
      <c r="D102" s="25"/>
      <c r="E102" s="25"/>
      <c r="M102" s="62"/>
      <c r="N102" s="25"/>
      <c r="O102" s="25"/>
      <c r="P102" s="25"/>
      <c r="Q102" s="25"/>
    </row>
    <row r="103" spans="1:17" ht="15" customHeight="1" x14ac:dyDescent="0.45">
      <c r="A103" s="62" t="s">
        <v>223</v>
      </c>
      <c r="B103" s="20"/>
      <c r="C103" s="20"/>
      <c r="D103" s="20"/>
      <c r="E103" s="20"/>
      <c r="M103" s="62"/>
      <c r="N103" s="20"/>
      <c r="O103" s="20"/>
      <c r="P103" s="20"/>
      <c r="Q103" s="20"/>
    </row>
    <row r="104" spans="1:17" ht="15" customHeight="1" x14ac:dyDescent="0.45">
      <c r="A104" s="62" t="s">
        <v>224</v>
      </c>
      <c r="B104" s="25"/>
      <c r="C104" s="25"/>
      <c r="D104" s="25"/>
      <c r="E104" s="25"/>
      <c r="M104" s="62"/>
      <c r="N104" s="25"/>
      <c r="O104" s="25"/>
      <c r="P104" s="25"/>
      <c r="Q104" s="25"/>
    </row>
    <row r="105" spans="1:17" ht="15" customHeight="1" x14ac:dyDescent="0.45">
      <c r="A105" s="62" t="s">
        <v>225</v>
      </c>
      <c r="B105" s="20"/>
      <c r="C105" s="20"/>
      <c r="D105" s="20"/>
      <c r="E105" s="20"/>
      <c r="M105" s="62"/>
      <c r="N105" s="20"/>
      <c r="O105" s="20"/>
      <c r="P105" s="20"/>
      <c r="Q105" s="20"/>
    </row>
    <row r="106" spans="1:17" ht="15" customHeight="1" x14ac:dyDescent="0.45">
      <c r="A106" s="62" t="s">
        <v>226</v>
      </c>
      <c r="B106" s="25"/>
      <c r="C106" s="25"/>
      <c r="D106" s="25"/>
      <c r="E106" s="25"/>
      <c r="M106" s="62"/>
      <c r="N106" s="25"/>
      <c r="O106" s="25"/>
      <c r="P106" s="25"/>
      <c r="Q106" s="25"/>
    </row>
    <row r="107" spans="1:17" ht="15" customHeight="1" x14ac:dyDescent="0.45">
      <c r="A107" s="62" t="s">
        <v>227</v>
      </c>
      <c r="B107" s="20"/>
      <c r="C107" s="20"/>
      <c r="D107" s="20"/>
      <c r="E107" s="20"/>
      <c r="M107" s="62"/>
      <c r="N107" s="20"/>
      <c r="O107" s="20"/>
      <c r="P107" s="20"/>
      <c r="Q107" s="20"/>
    </row>
    <row r="108" spans="1:17" ht="15" customHeight="1" x14ac:dyDescent="0.45">
      <c r="A108" s="62" t="s">
        <v>228</v>
      </c>
      <c r="B108" s="25"/>
      <c r="C108" s="25"/>
      <c r="D108" s="25"/>
      <c r="E108" s="25"/>
      <c r="M108" s="62"/>
      <c r="N108" s="25"/>
      <c r="O108" s="25"/>
      <c r="P108" s="25"/>
      <c r="Q108" s="25"/>
    </row>
    <row r="109" spans="1:17" ht="15" customHeight="1" x14ac:dyDescent="0.45">
      <c r="A109" s="62" t="s">
        <v>229</v>
      </c>
      <c r="B109" s="20"/>
      <c r="C109" s="20"/>
      <c r="D109" s="20"/>
      <c r="E109" s="20"/>
      <c r="M109" s="62"/>
      <c r="N109" s="20"/>
      <c r="O109" s="20"/>
      <c r="P109" s="20"/>
      <c r="Q109" s="20"/>
    </row>
    <row r="110" spans="1:17" ht="15" customHeight="1" x14ac:dyDescent="0.45">
      <c r="A110" s="62" t="s">
        <v>230</v>
      </c>
      <c r="B110" s="25"/>
      <c r="C110" s="25"/>
      <c r="D110" s="25"/>
      <c r="E110" s="25"/>
      <c r="M110" s="62"/>
      <c r="N110" s="25"/>
      <c r="O110" s="25"/>
      <c r="P110" s="25"/>
      <c r="Q110" s="25"/>
    </row>
    <row r="111" spans="1:17" ht="15" customHeight="1" x14ac:dyDescent="0.45">
      <c r="A111" s="62" t="s">
        <v>231</v>
      </c>
      <c r="B111" s="20"/>
      <c r="C111" s="20"/>
      <c r="D111" s="20"/>
      <c r="E111" s="20"/>
      <c r="M111" s="62"/>
      <c r="N111" s="20"/>
      <c r="O111" s="20"/>
      <c r="P111" s="20"/>
      <c r="Q111" s="20"/>
    </row>
    <row r="112" spans="1:17" ht="15" customHeight="1" x14ac:dyDescent="0.45">
      <c r="A112" s="62" t="s">
        <v>232</v>
      </c>
      <c r="B112" s="25"/>
      <c r="C112" s="25"/>
      <c r="D112" s="25"/>
      <c r="E112" s="25"/>
      <c r="M112" s="62"/>
      <c r="N112" s="25"/>
      <c r="O112" s="25"/>
      <c r="P112" s="25"/>
      <c r="Q112" s="25"/>
    </row>
    <row r="113" spans="1:17" ht="15" customHeight="1" x14ac:dyDescent="0.45">
      <c r="A113" s="62" t="s">
        <v>233</v>
      </c>
      <c r="B113" s="20"/>
      <c r="C113" s="20"/>
      <c r="D113" s="20"/>
      <c r="E113" s="20"/>
      <c r="M113" s="62"/>
      <c r="N113" s="20"/>
      <c r="O113" s="20"/>
      <c r="P113" s="20"/>
      <c r="Q113" s="20"/>
    </row>
    <row r="114" spans="1:17" ht="15" customHeight="1" x14ac:dyDescent="0.45">
      <c r="A114" s="62" t="s">
        <v>82</v>
      </c>
      <c r="B114" s="25"/>
      <c r="C114" s="25"/>
      <c r="D114" s="25"/>
      <c r="E114" s="25"/>
      <c r="M114" s="62"/>
      <c r="N114" s="25"/>
      <c r="O114" s="25"/>
      <c r="P114" s="25"/>
      <c r="Q114" s="25"/>
    </row>
    <row r="115" spans="1:17" ht="15" customHeight="1" x14ac:dyDescent="0.45">
      <c r="A115" s="62" t="s">
        <v>83</v>
      </c>
      <c r="B115" s="20"/>
      <c r="C115" s="20"/>
      <c r="D115" s="20"/>
      <c r="E115" s="20"/>
      <c r="M115" s="62"/>
      <c r="N115" s="20"/>
      <c r="O115" s="20"/>
      <c r="P115" s="20"/>
      <c r="Q115" s="20"/>
    </row>
    <row r="116" spans="1:17" ht="15" customHeight="1" x14ac:dyDescent="0.45">
      <c r="A116" s="62" t="s">
        <v>84</v>
      </c>
      <c r="B116" s="25"/>
      <c r="C116" s="25"/>
      <c r="D116" s="25"/>
      <c r="E116" s="25"/>
      <c r="M116" s="62"/>
      <c r="N116" s="25"/>
      <c r="O116" s="25"/>
      <c r="P116" s="25"/>
      <c r="Q116" s="25"/>
    </row>
    <row r="117" spans="1:17" ht="15" customHeight="1" thickBot="1" x14ac:dyDescent="0.5">
      <c r="A117" s="62" t="s">
        <v>86</v>
      </c>
      <c r="B117" s="26"/>
      <c r="C117" s="26"/>
      <c r="D117" s="26"/>
      <c r="E117" s="26"/>
      <c r="M117" s="62"/>
      <c r="N117" s="26"/>
      <c r="O117" s="26"/>
      <c r="P117" s="26"/>
      <c r="Q117" s="26"/>
    </row>
    <row r="118" spans="1:17" ht="15" customHeight="1" thickBot="1" x14ac:dyDescent="0.5"/>
    <row r="119" spans="1:17" ht="15" customHeight="1" thickBot="1" x14ac:dyDescent="0.5">
      <c r="A119" s="23" t="s">
        <v>87</v>
      </c>
      <c r="B119" s="48"/>
      <c r="C119" s="48"/>
      <c r="D119" s="48"/>
      <c r="E119" s="48"/>
      <c r="M119" s="23"/>
      <c r="N119" s="48"/>
      <c r="O119" s="48"/>
      <c r="P119" s="48"/>
      <c r="Q119" s="48"/>
    </row>
    <row r="120" spans="1:17" ht="15" customHeight="1" x14ac:dyDescent="0.45">
      <c r="A120" s="63" t="s">
        <v>88</v>
      </c>
      <c r="B120" s="24"/>
      <c r="C120" s="24"/>
      <c r="D120" s="24"/>
      <c r="E120" s="24"/>
      <c r="M120" s="63"/>
      <c r="N120" s="24"/>
      <c r="O120" s="24"/>
      <c r="P120" s="24"/>
      <c r="Q120" s="24"/>
    </row>
    <row r="121" spans="1:17" ht="15" customHeight="1" x14ac:dyDescent="0.45">
      <c r="A121" s="62" t="s">
        <v>89</v>
      </c>
      <c r="B121" s="20"/>
      <c r="C121" s="20"/>
      <c r="D121" s="20"/>
      <c r="E121" s="20"/>
      <c r="M121" s="62"/>
      <c r="N121" s="20"/>
      <c r="O121" s="20"/>
      <c r="P121" s="20"/>
      <c r="Q121" s="20"/>
    </row>
    <row r="122" spans="1:17" ht="15" customHeight="1" x14ac:dyDescent="0.45">
      <c r="A122" s="62" t="s">
        <v>90</v>
      </c>
      <c r="B122" s="25"/>
      <c r="C122" s="25"/>
      <c r="D122" s="25"/>
      <c r="E122" s="25"/>
      <c r="M122" s="62"/>
      <c r="N122" s="25"/>
      <c r="O122" s="25"/>
      <c r="P122" s="25"/>
      <c r="Q122" s="25"/>
    </row>
    <row r="123" spans="1:17" ht="15" customHeight="1" x14ac:dyDescent="0.45">
      <c r="A123" s="62" t="s">
        <v>91</v>
      </c>
      <c r="B123" s="20"/>
      <c r="C123" s="20"/>
      <c r="D123" s="20"/>
      <c r="E123" s="20"/>
      <c r="M123" s="62"/>
      <c r="N123" s="20"/>
      <c r="O123" s="20"/>
      <c r="P123" s="20"/>
      <c r="Q123" s="20"/>
    </row>
    <row r="124" spans="1:17" ht="15" customHeight="1" x14ac:dyDescent="0.45">
      <c r="A124" s="62" t="s">
        <v>92</v>
      </c>
      <c r="B124" s="25"/>
      <c r="C124" s="25"/>
      <c r="D124" s="25"/>
      <c r="E124" s="25"/>
      <c r="M124" s="62"/>
      <c r="N124" s="25"/>
      <c r="O124" s="25"/>
      <c r="P124" s="25"/>
      <c r="Q124" s="25"/>
    </row>
    <row r="125" spans="1:17" ht="15" customHeight="1" x14ac:dyDescent="0.45">
      <c r="A125" s="62" t="s">
        <v>234</v>
      </c>
      <c r="B125" s="20"/>
      <c r="C125" s="20"/>
      <c r="D125" s="20"/>
      <c r="E125" s="20"/>
      <c r="M125" s="62"/>
      <c r="N125" s="20"/>
      <c r="O125" s="20"/>
      <c r="P125" s="20"/>
      <c r="Q125" s="20"/>
    </row>
    <row r="126" spans="1:17" ht="15" customHeight="1" x14ac:dyDescent="0.45">
      <c r="A126" s="62" t="s">
        <v>93</v>
      </c>
      <c r="B126" s="25"/>
      <c r="C126" s="25"/>
      <c r="D126" s="25"/>
      <c r="E126" s="25"/>
      <c r="M126" s="62"/>
      <c r="N126" s="25"/>
      <c r="O126" s="25"/>
      <c r="P126" s="25"/>
      <c r="Q126" s="25"/>
    </row>
    <row r="127" spans="1:17" ht="15" customHeight="1" x14ac:dyDescent="0.45">
      <c r="A127" s="62" t="s">
        <v>94</v>
      </c>
      <c r="B127" s="20"/>
      <c r="C127" s="20"/>
      <c r="D127" s="20"/>
      <c r="E127" s="20"/>
      <c r="M127" s="62"/>
      <c r="N127" s="20"/>
      <c r="O127" s="20"/>
      <c r="P127" s="20"/>
      <c r="Q127" s="20"/>
    </row>
    <row r="128" spans="1:17" ht="15" customHeight="1" x14ac:dyDescent="0.45">
      <c r="A128" s="62" t="s">
        <v>95</v>
      </c>
      <c r="B128" s="25"/>
      <c r="C128" s="25"/>
      <c r="D128" s="25"/>
      <c r="E128" s="25"/>
      <c r="M128" s="62"/>
      <c r="N128" s="25"/>
      <c r="O128" s="25"/>
      <c r="P128" s="25"/>
      <c r="Q128" s="25"/>
    </row>
    <row r="129" spans="1:17" ht="15" customHeight="1" x14ac:dyDescent="0.45">
      <c r="A129" s="62" t="s">
        <v>96</v>
      </c>
      <c r="B129" s="20"/>
      <c r="C129" s="20"/>
      <c r="D129" s="20"/>
      <c r="E129" s="20"/>
      <c r="M129" s="62"/>
      <c r="N129" s="20"/>
      <c r="O129" s="20"/>
      <c r="P129" s="20"/>
      <c r="Q129" s="20"/>
    </row>
    <row r="130" spans="1:17" ht="15" customHeight="1" x14ac:dyDescent="0.45">
      <c r="A130" s="62" t="s">
        <v>97</v>
      </c>
      <c r="B130" s="25"/>
      <c r="C130" s="25"/>
      <c r="D130" s="25"/>
      <c r="E130" s="25"/>
      <c r="M130" s="62"/>
      <c r="N130" s="25"/>
      <c r="O130" s="25"/>
      <c r="P130" s="25"/>
      <c r="Q130" s="25"/>
    </row>
    <row r="131" spans="1:17" ht="15" customHeight="1" x14ac:dyDescent="0.45">
      <c r="A131" s="64" t="s">
        <v>98</v>
      </c>
      <c r="B131" s="20"/>
      <c r="C131" s="20"/>
      <c r="D131" s="20"/>
      <c r="E131" s="20"/>
      <c r="M131" s="64"/>
      <c r="N131" s="20"/>
      <c r="O131" s="20"/>
      <c r="P131" s="20"/>
      <c r="Q131" s="20"/>
    </row>
    <row r="132" spans="1:17" ht="15" customHeight="1" thickBot="1" x14ac:dyDescent="0.5">
      <c r="A132" s="65" t="s">
        <v>99</v>
      </c>
      <c r="B132" s="27"/>
      <c r="C132" s="27"/>
      <c r="D132" s="27"/>
      <c r="E132" s="27"/>
      <c r="M132" s="65"/>
      <c r="N132" s="27"/>
      <c r="O132" s="27"/>
      <c r="P132" s="27"/>
      <c r="Q132" s="27"/>
    </row>
    <row r="133" spans="1:17" ht="15" customHeight="1" thickBot="1" x14ac:dyDescent="0.5"/>
    <row r="134" spans="1:17" ht="15" customHeight="1" thickBot="1" x14ac:dyDescent="0.5">
      <c r="A134" s="23" t="s">
        <v>379</v>
      </c>
      <c r="B134" s="48"/>
      <c r="C134" s="48"/>
      <c r="D134" s="48"/>
      <c r="E134" s="48"/>
      <c r="M134" s="23"/>
      <c r="N134" s="48"/>
      <c r="O134" s="48"/>
      <c r="P134" s="48"/>
      <c r="Q134" s="48"/>
    </row>
    <row r="135" spans="1:17" ht="15" customHeight="1" x14ac:dyDescent="0.45">
      <c r="A135" s="63" t="s">
        <v>88</v>
      </c>
      <c r="B135" s="24"/>
      <c r="C135" s="24"/>
      <c r="D135" s="24"/>
      <c r="E135" s="24"/>
      <c r="M135" s="63"/>
      <c r="N135" s="24"/>
      <c r="O135" s="24"/>
      <c r="P135" s="24"/>
      <c r="Q135" s="24"/>
    </row>
    <row r="136" spans="1:17" ht="15" customHeight="1" x14ac:dyDescent="0.45">
      <c r="A136" s="62" t="s">
        <v>89</v>
      </c>
      <c r="B136" s="20"/>
      <c r="C136" s="20"/>
      <c r="D136" s="20"/>
      <c r="E136" s="20"/>
      <c r="M136" s="62"/>
      <c r="N136" s="20"/>
      <c r="O136" s="20"/>
      <c r="P136" s="20"/>
      <c r="Q136" s="20"/>
    </row>
    <row r="137" spans="1:17" ht="15" customHeight="1" x14ac:dyDescent="0.45">
      <c r="A137" s="62" t="s">
        <v>90</v>
      </c>
      <c r="B137" s="25"/>
      <c r="C137" s="25"/>
      <c r="D137" s="25"/>
      <c r="E137" s="25"/>
      <c r="M137" s="62"/>
      <c r="N137" s="25"/>
      <c r="O137" s="25"/>
      <c r="P137" s="25"/>
      <c r="Q137" s="25"/>
    </row>
    <row r="138" spans="1:17" ht="15" customHeight="1" x14ac:dyDescent="0.45">
      <c r="A138" s="62" t="s">
        <v>91</v>
      </c>
      <c r="B138" s="20"/>
      <c r="C138" s="20"/>
      <c r="D138" s="20"/>
      <c r="E138" s="20"/>
      <c r="M138" s="62"/>
      <c r="N138" s="20"/>
      <c r="O138" s="20"/>
      <c r="P138" s="20"/>
      <c r="Q138" s="20"/>
    </row>
    <row r="139" spans="1:17" ht="15" customHeight="1" x14ac:dyDescent="0.45">
      <c r="A139" s="62" t="s">
        <v>92</v>
      </c>
      <c r="B139" s="25"/>
      <c r="C139" s="25"/>
      <c r="D139" s="25"/>
      <c r="E139" s="25"/>
      <c r="M139" s="62"/>
      <c r="N139" s="25"/>
      <c r="O139" s="25"/>
      <c r="P139" s="25"/>
      <c r="Q139" s="25"/>
    </row>
    <row r="140" spans="1:17" ht="15" customHeight="1" x14ac:dyDescent="0.45">
      <c r="A140" s="62" t="s">
        <v>234</v>
      </c>
      <c r="B140" s="20"/>
      <c r="C140" s="20"/>
      <c r="D140" s="20"/>
      <c r="E140" s="20"/>
      <c r="M140" s="62"/>
      <c r="N140" s="20"/>
      <c r="O140" s="20"/>
      <c r="P140" s="20"/>
      <c r="Q140" s="20"/>
    </row>
    <row r="141" spans="1:17" ht="15" customHeight="1" x14ac:dyDescent="0.45">
      <c r="A141" s="62" t="s">
        <v>93</v>
      </c>
      <c r="B141" s="25"/>
      <c r="C141" s="25"/>
      <c r="D141" s="25"/>
      <c r="E141" s="25"/>
      <c r="M141" s="62"/>
      <c r="N141" s="25"/>
      <c r="O141" s="25"/>
      <c r="P141" s="25"/>
      <c r="Q141" s="25"/>
    </row>
    <row r="142" spans="1:17" ht="15" customHeight="1" x14ac:dyDescent="0.45">
      <c r="A142" s="62" t="s">
        <v>94</v>
      </c>
      <c r="B142" s="20"/>
      <c r="C142" s="20"/>
      <c r="D142" s="20"/>
      <c r="E142" s="20"/>
      <c r="M142" s="62"/>
      <c r="N142" s="20"/>
      <c r="O142" s="20"/>
      <c r="P142" s="20"/>
      <c r="Q142" s="20"/>
    </row>
    <row r="143" spans="1:17" ht="15" customHeight="1" x14ac:dyDescent="0.45">
      <c r="A143" s="62" t="s">
        <v>95</v>
      </c>
      <c r="B143" s="25"/>
      <c r="C143" s="25"/>
      <c r="D143" s="25"/>
      <c r="E143" s="25"/>
      <c r="M143" s="62"/>
      <c r="N143" s="25"/>
      <c r="O143" s="25"/>
      <c r="P143" s="25"/>
      <c r="Q143" s="25"/>
    </row>
    <row r="144" spans="1:17" ht="15" customHeight="1" x14ac:dyDescent="0.45">
      <c r="A144" s="62" t="s">
        <v>96</v>
      </c>
      <c r="B144" s="20"/>
      <c r="C144" s="20"/>
      <c r="D144" s="20"/>
      <c r="E144" s="20"/>
      <c r="M144" s="62"/>
      <c r="N144" s="20"/>
      <c r="O144" s="20"/>
      <c r="P144" s="20"/>
      <c r="Q144" s="20"/>
    </row>
    <row r="145" spans="1:17" ht="15" customHeight="1" x14ac:dyDescent="0.45">
      <c r="A145" s="62" t="s">
        <v>97</v>
      </c>
      <c r="B145" s="25"/>
      <c r="C145" s="25"/>
      <c r="D145" s="25"/>
      <c r="E145" s="25"/>
      <c r="M145" s="62"/>
      <c r="N145" s="25"/>
      <c r="O145" s="25"/>
      <c r="P145" s="25"/>
      <c r="Q145" s="25"/>
    </row>
    <row r="146" spans="1:17" ht="15" customHeight="1" x14ac:dyDescent="0.45">
      <c r="A146" s="64" t="s">
        <v>98</v>
      </c>
      <c r="B146" s="20"/>
      <c r="C146" s="20"/>
      <c r="D146" s="20"/>
      <c r="E146" s="20"/>
      <c r="M146" s="64"/>
      <c r="N146" s="20"/>
      <c r="O146" s="20"/>
      <c r="P146" s="20"/>
      <c r="Q146" s="20"/>
    </row>
    <row r="147" spans="1:17" ht="15" customHeight="1" thickBot="1" x14ac:dyDescent="0.5">
      <c r="A147" s="65" t="s">
        <v>99</v>
      </c>
      <c r="B147" s="27"/>
      <c r="C147" s="27"/>
      <c r="D147" s="27"/>
      <c r="E147" s="27"/>
      <c r="M147" s="65"/>
      <c r="N147" s="27"/>
      <c r="O147" s="27"/>
      <c r="P147" s="27"/>
      <c r="Q147" s="27"/>
    </row>
    <row r="148" spans="1:17" ht="15" customHeight="1" thickBot="1" x14ac:dyDescent="0.5"/>
    <row r="149" spans="1:17" ht="15" customHeight="1" thickBot="1" x14ac:dyDescent="0.5">
      <c r="A149" s="23" t="s">
        <v>380</v>
      </c>
      <c r="B149" s="48"/>
      <c r="C149" s="48"/>
      <c r="D149" s="48"/>
      <c r="E149" s="48"/>
      <c r="M149" s="23"/>
      <c r="N149" s="48"/>
      <c r="O149" s="48"/>
      <c r="P149" s="48"/>
      <c r="Q149" s="48"/>
    </row>
    <row r="150" spans="1:17" ht="15" customHeight="1" x14ac:dyDescent="0.45">
      <c r="A150" s="48" t="s">
        <v>235</v>
      </c>
      <c r="B150" s="24"/>
      <c r="C150" s="24"/>
      <c r="D150" s="24"/>
      <c r="E150" s="24"/>
      <c r="M150" s="48"/>
      <c r="N150" s="24"/>
      <c r="O150" s="24"/>
      <c r="P150" s="24"/>
      <c r="Q150" s="24"/>
    </row>
    <row r="151" spans="1:17" ht="15" customHeight="1" x14ac:dyDescent="0.45">
      <c r="A151" s="56" t="s">
        <v>236</v>
      </c>
      <c r="B151" s="20"/>
      <c r="C151" s="20"/>
      <c r="D151" s="20"/>
      <c r="E151" s="20"/>
      <c r="M151" s="56"/>
      <c r="N151" s="20"/>
      <c r="O151" s="20"/>
      <c r="P151" s="20"/>
      <c r="Q151" s="20"/>
    </row>
    <row r="152" spans="1:17" ht="15" customHeight="1" x14ac:dyDescent="0.45">
      <c r="A152" s="56" t="s">
        <v>100</v>
      </c>
      <c r="B152" s="25"/>
      <c r="C152" s="25"/>
      <c r="D152" s="25"/>
      <c r="E152" s="25"/>
      <c r="M152" s="56"/>
      <c r="N152" s="25"/>
      <c r="O152" s="25"/>
      <c r="P152" s="25"/>
      <c r="Q152" s="25"/>
    </row>
    <row r="153" spans="1:17" ht="15" customHeight="1" x14ac:dyDescent="0.45">
      <c r="A153" s="56" t="s">
        <v>101</v>
      </c>
      <c r="B153" s="20"/>
      <c r="C153" s="20"/>
      <c r="D153" s="20"/>
      <c r="E153" s="20"/>
      <c r="M153" s="56"/>
      <c r="N153" s="20"/>
      <c r="O153" s="20"/>
      <c r="P153" s="20"/>
      <c r="Q153" s="20"/>
    </row>
    <row r="154" spans="1:17" ht="15" customHeight="1" x14ac:dyDescent="0.45">
      <c r="A154" s="56" t="s">
        <v>237</v>
      </c>
      <c r="B154" s="25"/>
      <c r="C154" s="25"/>
      <c r="D154" s="25"/>
      <c r="E154" s="25"/>
      <c r="M154" s="56"/>
      <c r="N154" s="25"/>
      <c r="O154" s="25"/>
      <c r="P154" s="25"/>
      <c r="Q154" s="25"/>
    </row>
    <row r="155" spans="1:17" ht="15" customHeight="1" x14ac:dyDescent="0.45">
      <c r="A155" s="56" t="s">
        <v>238</v>
      </c>
      <c r="B155" s="20"/>
      <c r="C155" s="20"/>
      <c r="D155" s="20"/>
      <c r="E155" s="20"/>
      <c r="M155" s="56"/>
      <c r="N155" s="20"/>
      <c r="O155" s="20"/>
      <c r="P155" s="20"/>
      <c r="Q155" s="20"/>
    </row>
    <row r="156" spans="1:17" ht="15" customHeight="1" x14ac:dyDescent="0.45">
      <c r="A156" s="56" t="s">
        <v>239</v>
      </c>
      <c r="B156" s="25"/>
      <c r="C156" s="25"/>
      <c r="D156" s="25"/>
      <c r="E156" s="25"/>
      <c r="M156" s="56"/>
      <c r="N156" s="25"/>
      <c r="O156" s="25"/>
      <c r="P156" s="25"/>
      <c r="Q156" s="25"/>
    </row>
    <row r="157" spans="1:17" ht="15" customHeight="1" x14ac:dyDescent="0.45">
      <c r="A157" s="56" t="s">
        <v>240</v>
      </c>
      <c r="B157" s="20"/>
      <c r="C157" s="20"/>
      <c r="D157" s="20"/>
      <c r="E157" s="20"/>
      <c r="M157" s="56"/>
      <c r="N157" s="20"/>
      <c r="O157" s="20"/>
      <c r="P157" s="20"/>
      <c r="Q157" s="20"/>
    </row>
    <row r="158" spans="1:17" ht="15" customHeight="1" x14ac:dyDescent="0.45">
      <c r="A158" s="56" t="s">
        <v>241</v>
      </c>
      <c r="B158" s="25"/>
      <c r="C158" s="25"/>
      <c r="D158" s="25"/>
      <c r="E158" s="25"/>
      <c r="M158" s="56"/>
      <c r="N158" s="25"/>
      <c r="O158" s="25"/>
      <c r="P158" s="25"/>
      <c r="Q158" s="25"/>
    </row>
    <row r="159" spans="1:17" ht="15" customHeight="1" x14ac:dyDescent="0.45">
      <c r="A159" s="56" t="s">
        <v>242</v>
      </c>
      <c r="B159" s="20"/>
      <c r="C159" s="20"/>
      <c r="D159" s="20"/>
      <c r="E159" s="20"/>
      <c r="M159" s="56"/>
      <c r="N159" s="20"/>
      <c r="O159" s="20"/>
      <c r="P159" s="20"/>
      <c r="Q159" s="20"/>
    </row>
    <row r="160" spans="1:17" ht="15" customHeight="1" x14ac:dyDescent="0.45">
      <c r="A160" s="56" t="s">
        <v>88</v>
      </c>
      <c r="B160" s="25"/>
      <c r="C160" s="25"/>
      <c r="D160" s="25"/>
      <c r="E160" s="25"/>
      <c r="M160" s="56"/>
      <c r="N160" s="25"/>
      <c r="O160" s="25"/>
      <c r="P160" s="25"/>
      <c r="Q160" s="25"/>
    </row>
    <row r="161" spans="1:17" ht="15" customHeight="1" x14ac:dyDescent="0.45">
      <c r="A161" s="56" t="s">
        <v>89</v>
      </c>
      <c r="B161" s="20"/>
      <c r="C161" s="20"/>
      <c r="D161" s="20"/>
      <c r="E161" s="20"/>
      <c r="M161" s="56"/>
      <c r="N161" s="20"/>
      <c r="O161" s="20"/>
      <c r="P161" s="20"/>
      <c r="Q161" s="20"/>
    </row>
    <row r="162" spans="1:17" ht="15" customHeight="1" x14ac:dyDescent="0.45">
      <c r="A162" s="56" t="s">
        <v>102</v>
      </c>
      <c r="B162" s="25"/>
      <c r="C162" s="25"/>
      <c r="D162" s="25"/>
      <c r="E162" s="25"/>
      <c r="M162" s="56"/>
      <c r="N162" s="25"/>
      <c r="O162" s="25"/>
      <c r="P162" s="25"/>
      <c r="Q162" s="25"/>
    </row>
    <row r="163" spans="1:17" ht="15" customHeight="1" x14ac:dyDescent="0.45">
      <c r="A163" s="56" t="s">
        <v>103</v>
      </c>
      <c r="B163" s="20"/>
      <c r="C163" s="20"/>
      <c r="D163" s="20"/>
      <c r="E163" s="20"/>
      <c r="M163" s="56"/>
      <c r="N163" s="20"/>
      <c r="O163" s="20"/>
      <c r="P163" s="20"/>
      <c r="Q163" s="20"/>
    </row>
    <row r="164" spans="1:17" ht="15" customHeight="1" x14ac:dyDescent="0.45">
      <c r="A164" s="56" t="s">
        <v>104</v>
      </c>
      <c r="B164" s="25"/>
      <c r="C164" s="25"/>
      <c r="D164" s="25"/>
      <c r="E164" s="25"/>
      <c r="M164" s="56"/>
      <c r="N164" s="25"/>
      <c r="O164" s="25"/>
      <c r="P164" s="25"/>
      <c r="Q164" s="25"/>
    </row>
    <row r="165" spans="1:17" ht="15" customHeight="1" x14ac:dyDescent="0.45">
      <c r="A165" s="56" t="s">
        <v>105</v>
      </c>
      <c r="B165" s="20"/>
      <c r="C165" s="20"/>
      <c r="D165" s="20"/>
      <c r="E165" s="20"/>
      <c r="M165" s="56"/>
      <c r="N165" s="20"/>
      <c r="O165" s="20"/>
      <c r="P165" s="20"/>
      <c r="Q165" s="20"/>
    </row>
    <row r="166" spans="1:17" ht="15" customHeight="1" x14ac:dyDescent="0.45">
      <c r="A166" s="56" t="s">
        <v>106</v>
      </c>
      <c r="B166" s="25"/>
      <c r="C166" s="25"/>
      <c r="D166" s="25"/>
      <c r="E166" s="25"/>
      <c r="M166" s="56"/>
      <c r="N166" s="25"/>
      <c r="O166" s="25"/>
      <c r="P166" s="25"/>
      <c r="Q166" s="25"/>
    </row>
    <row r="167" spans="1:17" ht="15" customHeight="1" x14ac:dyDescent="0.45">
      <c r="A167" s="56" t="s">
        <v>243</v>
      </c>
      <c r="B167" s="20"/>
      <c r="C167" s="20"/>
      <c r="D167" s="20"/>
      <c r="E167" s="20"/>
      <c r="M167" s="56"/>
      <c r="N167" s="20"/>
      <c r="O167" s="20"/>
      <c r="P167" s="20"/>
      <c r="Q167" s="20"/>
    </row>
    <row r="168" spans="1:17" ht="15" customHeight="1" x14ac:dyDescent="0.45">
      <c r="A168" s="56" t="s">
        <v>107</v>
      </c>
      <c r="B168" s="25"/>
      <c r="C168" s="25"/>
      <c r="D168" s="25"/>
      <c r="E168" s="25"/>
      <c r="M168" s="56"/>
      <c r="N168" s="25"/>
      <c r="O168" s="25"/>
      <c r="P168" s="25"/>
      <c r="Q168" s="25"/>
    </row>
    <row r="169" spans="1:17" ht="15" customHeight="1" thickBot="1" x14ac:dyDescent="0.5">
      <c r="A169" s="57" t="s">
        <v>108</v>
      </c>
      <c r="B169" s="26"/>
      <c r="C169" s="26"/>
      <c r="D169" s="26"/>
      <c r="E169" s="26"/>
      <c r="M169" s="57"/>
      <c r="N169" s="26"/>
      <c r="O169" s="26"/>
      <c r="P169" s="26"/>
      <c r="Q169" s="26"/>
    </row>
    <row r="170" spans="1:17" ht="15" customHeight="1" x14ac:dyDescent="0.45">
      <c r="A170" s="28"/>
      <c r="B170" s="9"/>
      <c r="C170" s="9"/>
      <c r="D170" s="9"/>
      <c r="E170" s="9"/>
      <c r="M170" s="28"/>
      <c r="N170" s="9"/>
      <c r="O170" s="9"/>
      <c r="P170" s="9"/>
      <c r="Q170" s="9"/>
    </row>
    <row r="171" spans="1:17" ht="15" customHeight="1" x14ac:dyDescent="0.45">
      <c r="A171" s="29" t="s">
        <v>168</v>
      </c>
      <c r="B171" s="9"/>
      <c r="C171" s="9"/>
      <c r="D171" s="9"/>
      <c r="E171" s="9"/>
      <c r="M171" s="29"/>
      <c r="N171" s="9"/>
      <c r="O171" s="9"/>
      <c r="P171" s="9"/>
      <c r="Q171" s="9"/>
    </row>
    <row r="172" spans="1:17" ht="15" customHeight="1" thickBot="1" x14ac:dyDescent="0.5"/>
    <row r="173" spans="1:17" ht="15" customHeight="1" x14ac:dyDescent="0.45">
      <c r="A173" s="23" t="s">
        <v>109</v>
      </c>
      <c r="B173" s="48"/>
      <c r="C173" s="48"/>
      <c r="D173" s="48"/>
      <c r="E173" s="48"/>
      <c r="M173" s="23"/>
      <c r="N173" s="48"/>
      <c r="O173" s="48"/>
      <c r="P173" s="48"/>
      <c r="Q173" s="48"/>
    </row>
    <row r="174" spans="1:17" ht="15" customHeight="1" x14ac:dyDescent="0.45">
      <c r="A174" s="56" t="s">
        <v>122</v>
      </c>
      <c r="B174" s="25"/>
      <c r="C174" s="25"/>
      <c r="D174" s="25"/>
      <c r="E174" s="25"/>
      <c r="M174" s="56"/>
      <c r="N174" s="25"/>
      <c r="O174" s="25"/>
      <c r="P174" s="25"/>
      <c r="Q174" s="25"/>
    </row>
    <row r="175" spans="1:17" ht="15" customHeight="1" x14ac:dyDescent="0.45">
      <c r="A175" s="56" t="s">
        <v>244</v>
      </c>
      <c r="B175" s="20"/>
      <c r="C175" s="20"/>
      <c r="D175" s="20"/>
      <c r="E175" s="20"/>
      <c r="M175" s="56"/>
      <c r="N175" s="20"/>
      <c r="O175" s="20"/>
      <c r="P175" s="20"/>
      <c r="Q175" s="20"/>
    </row>
    <row r="176" spans="1:17" ht="15" customHeight="1" x14ac:dyDescent="0.45">
      <c r="A176" s="56" t="s">
        <v>245</v>
      </c>
      <c r="B176" s="25"/>
      <c r="C176" s="25"/>
      <c r="D176" s="25"/>
      <c r="E176" s="25"/>
      <c r="M176" s="56"/>
      <c r="N176" s="25"/>
      <c r="O176" s="25"/>
      <c r="P176" s="25"/>
      <c r="Q176" s="25"/>
    </row>
    <row r="177" spans="1:17" ht="15" customHeight="1" x14ac:dyDescent="0.45">
      <c r="A177" s="56" t="s">
        <v>123</v>
      </c>
      <c r="B177" s="20"/>
      <c r="C177" s="20"/>
      <c r="D177" s="20"/>
      <c r="E177" s="20"/>
      <c r="M177" s="56"/>
      <c r="N177" s="20"/>
      <c r="O177" s="20"/>
      <c r="P177" s="20"/>
      <c r="Q177" s="20"/>
    </row>
    <row r="178" spans="1:17" ht="15" customHeight="1" x14ac:dyDescent="0.45">
      <c r="A178" s="56" t="s">
        <v>124</v>
      </c>
      <c r="B178" s="25"/>
      <c r="C178" s="25"/>
      <c r="D178" s="25"/>
      <c r="E178" s="25"/>
      <c r="M178" s="56"/>
      <c r="N178" s="25"/>
      <c r="O178" s="25"/>
      <c r="P178" s="25"/>
      <c r="Q178" s="25"/>
    </row>
    <row r="179" spans="1:17" ht="15" customHeight="1" x14ac:dyDescent="0.45">
      <c r="A179" s="56" t="s">
        <v>125</v>
      </c>
      <c r="B179" s="20"/>
      <c r="C179" s="20"/>
      <c r="D179" s="20"/>
      <c r="E179" s="20"/>
      <c r="M179" s="56"/>
      <c r="N179" s="20"/>
      <c r="O179" s="20"/>
      <c r="P179" s="20"/>
      <c r="Q179" s="20"/>
    </row>
    <row r="180" spans="1:17" ht="15" customHeight="1" x14ac:dyDescent="0.45">
      <c r="A180" s="56" t="s">
        <v>126</v>
      </c>
      <c r="B180" s="25"/>
      <c r="C180" s="25"/>
      <c r="D180" s="25"/>
      <c r="E180" s="25"/>
      <c r="M180" s="56"/>
      <c r="N180" s="25"/>
      <c r="O180" s="25"/>
      <c r="P180" s="25"/>
      <c r="Q180" s="25"/>
    </row>
    <row r="181" spans="1:17" ht="15" customHeight="1" x14ac:dyDescent="0.45">
      <c r="A181" s="56" t="s">
        <v>127</v>
      </c>
      <c r="B181" s="20"/>
      <c r="C181" s="20"/>
      <c r="D181" s="20"/>
      <c r="E181" s="20"/>
      <c r="M181" s="56"/>
      <c r="N181" s="20"/>
      <c r="O181" s="20"/>
      <c r="P181" s="20"/>
      <c r="Q181" s="20"/>
    </row>
    <row r="182" spans="1:17" ht="15" customHeight="1" x14ac:dyDescent="0.45">
      <c r="A182" s="56" t="s">
        <v>128</v>
      </c>
      <c r="B182" s="25"/>
      <c r="C182" s="25"/>
      <c r="D182" s="25"/>
      <c r="E182" s="25"/>
      <c r="M182" s="56"/>
      <c r="N182" s="25"/>
      <c r="O182" s="25"/>
      <c r="P182" s="25"/>
      <c r="Q182" s="25"/>
    </row>
    <row r="183" spans="1:17" ht="15" customHeight="1" x14ac:dyDescent="0.45">
      <c r="A183" s="56" t="s">
        <v>246</v>
      </c>
      <c r="B183" s="20"/>
      <c r="C183" s="20"/>
      <c r="D183" s="20"/>
      <c r="E183" s="20"/>
      <c r="M183" s="56"/>
      <c r="N183" s="20"/>
      <c r="O183" s="20"/>
      <c r="P183" s="20"/>
      <c r="Q183" s="20"/>
    </row>
    <row r="184" spans="1:17" ht="15" customHeight="1" x14ac:dyDescent="0.45">
      <c r="A184" s="56" t="s">
        <v>247</v>
      </c>
      <c r="B184" s="25"/>
      <c r="C184" s="25"/>
      <c r="D184" s="25"/>
      <c r="E184" s="25"/>
      <c r="M184" s="56"/>
      <c r="N184" s="25"/>
      <c r="O184" s="25"/>
      <c r="P184" s="25"/>
      <c r="Q184" s="25"/>
    </row>
    <row r="185" spans="1:17" ht="15" customHeight="1" x14ac:dyDescent="0.45">
      <c r="A185" s="56" t="s">
        <v>129</v>
      </c>
      <c r="B185" s="20"/>
      <c r="C185" s="20"/>
      <c r="D185" s="20"/>
      <c r="E185" s="20"/>
      <c r="M185" s="56"/>
      <c r="N185" s="20"/>
      <c r="O185" s="20"/>
      <c r="P185" s="20"/>
      <c r="Q185" s="20"/>
    </row>
    <row r="186" spans="1:17" ht="15" customHeight="1" thickBot="1" x14ac:dyDescent="0.5">
      <c r="A186" s="57" t="s">
        <v>130</v>
      </c>
      <c r="B186" s="66"/>
      <c r="C186" s="66"/>
      <c r="D186" s="66"/>
      <c r="E186" s="66"/>
      <c r="M186" s="57"/>
      <c r="N186" s="66"/>
      <c r="O186" s="66"/>
      <c r="P186" s="66"/>
      <c r="Q186" s="66"/>
    </row>
    <row r="187" spans="1:17" ht="15" customHeight="1" thickBot="1" x14ac:dyDescent="0.5"/>
    <row r="188" spans="1:17" ht="15" customHeight="1" x14ac:dyDescent="0.45">
      <c r="A188" s="23" t="s">
        <v>131</v>
      </c>
      <c r="B188" s="48"/>
      <c r="C188" s="48"/>
      <c r="D188" s="48"/>
      <c r="E188" s="48"/>
      <c r="M188" s="23"/>
      <c r="N188" s="48"/>
      <c r="O188" s="48"/>
      <c r="P188" s="48"/>
      <c r="Q188" s="48"/>
    </row>
    <row r="189" spans="1:17" ht="15" customHeight="1" x14ac:dyDescent="0.45">
      <c r="A189" s="56" t="s">
        <v>122</v>
      </c>
      <c r="B189" s="25"/>
      <c r="C189" s="25"/>
      <c r="D189" s="25"/>
      <c r="E189" s="25"/>
      <c r="M189" s="56"/>
      <c r="N189" s="25"/>
      <c r="O189" s="25"/>
      <c r="P189" s="25"/>
      <c r="Q189" s="25"/>
    </row>
    <row r="190" spans="1:17" ht="15" customHeight="1" x14ac:dyDescent="0.45">
      <c r="A190" s="54" t="s">
        <v>123</v>
      </c>
      <c r="B190" s="20"/>
      <c r="C190" s="20"/>
      <c r="D190" s="20"/>
      <c r="E190" s="20"/>
      <c r="M190" s="54"/>
      <c r="N190" s="20"/>
      <c r="O190" s="20"/>
      <c r="P190" s="20"/>
      <c r="Q190" s="20"/>
    </row>
    <row r="191" spans="1:17" ht="15" customHeight="1" x14ac:dyDescent="0.45">
      <c r="A191" s="54" t="s">
        <v>248</v>
      </c>
      <c r="B191" s="25"/>
      <c r="C191" s="25"/>
      <c r="D191" s="25"/>
      <c r="E191" s="25"/>
      <c r="M191" s="54"/>
      <c r="N191" s="25"/>
      <c r="O191" s="25"/>
      <c r="P191" s="25"/>
      <c r="Q191" s="25"/>
    </row>
    <row r="192" spans="1:17" ht="15" customHeight="1" x14ac:dyDescent="0.45">
      <c r="A192" s="54" t="s">
        <v>125</v>
      </c>
      <c r="B192" s="20"/>
      <c r="C192" s="20"/>
      <c r="D192" s="20"/>
      <c r="E192" s="20"/>
      <c r="M192" s="54"/>
      <c r="N192" s="20"/>
      <c r="O192" s="20"/>
      <c r="P192" s="20"/>
      <c r="Q192" s="20"/>
    </row>
    <row r="193" spans="1:17" ht="15" customHeight="1" x14ac:dyDescent="0.45">
      <c r="A193" s="54" t="s">
        <v>126</v>
      </c>
      <c r="B193" s="25"/>
      <c r="C193" s="25"/>
      <c r="D193" s="25"/>
      <c r="E193" s="25"/>
      <c r="M193" s="54"/>
      <c r="N193" s="25"/>
      <c r="O193" s="25"/>
      <c r="P193" s="25"/>
      <c r="Q193" s="25"/>
    </row>
    <row r="194" spans="1:17" ht="15" customHeight="1" x14ac:dyDescent="0.45">
      <c r="A194" s="54" t="s">
        <v>128</v>
      </c>
      <c r="B194" s="20"/>
      <c r="C194" s="20"/>
      <c r="D194" s="20"/>
      <c r="E194" s="20"/>
      <c r="M194" s="54"/>
      <c r="N194" s="20"/>
      <c r="O194" s="20"/>
      <c r="P194" s="20"/>
      <c r="Q194" s="20"/>
    </row>
    <row r="195" spans="1:17" ht="15" customHeight="1" x14ac:dyDescent="0.45">
      <c r="A195" s="54" t="s">
        <v>249</v>
      </c>
      <c r="B195" s="25"/>
      <c r="C195" s="25"/>
      <c r="D195" s="25"/>
      <c r="E195" s="25"/>
      <c r="M195" s="54"/>
      <c r="N195" s="25"/>
      <c r="O195" s="25"/>
      <c r="P195" s="25"/>
      <c r="Q195" s="25"/>
    </row>
    <row r="196" spans="1:17" ht="15" customHeight="1" x14ac:dyDescent="0.45">
      <c r="A196" s="54" t="s">
        <v>129</v>
      </c>
      <c r="B196" s="20"/>
      <c r="C196" s="20"/>
      <c r="D196" s="20"/>
      <c r="E196" s="20"/>
      <c r="M196" s="54"/>
      <c r="N196" s="20"/>
      <c r="O196" s="20"/>
      <c r="P196" s="20"/>
      <c r="Q196" s="20"/>
    </row>
    <row r="197" spans="1:17" ht="15" customHeight="1" x14ac:dyDescent="0.45">
      <c r="A197" s="54" t="s">
        <v>130</v>
      </c>
      <c r="B197" s="25"/>
      <c r="C197" s="25"/>
      <c r="D197" s="25"/>
      <c r="E197" s="25"/>
      <c r="M197" s="54"/>
      <c r="N197" s="25"/>
      <c r="O197" s="25"/>
      <c r="P197" s="25"/>
      <c r="Q197" s="25"/>
    </row>
    <row r="198" spans="1:17" ht="15" customHeight="1" x14ac:dyDescent="0.45">
      <c r="A198" s="54" t="s">
        <v>250</v>
      </c>
      <c r="B198" s="20"/>
      <c r="C198" s="20"/>
      <c r="D198" s="20"/>
      <c r="E198" s="20"/>
      <c r="M198" s="54"/>
      <c r="N198" s="20"/>
      <c r="O198" s="20"/>
      <c r="P198" s="20"/>
      <c r="Q198" s="20"/>
    </row>
    <row r="199" spans="1:17" ht="15" customHeight="1" thickBot="1" x14ac:dyDescent="0.5">
      <c r="A199" s="54" t="s">
        <v>251</v>
      </c>
      <c r="B199" s="66"/>
      <c r="C199" s="66"/>
      <c r="D199" s="66"/>
      <c r="E199" s="66"/>
      <c r="M199" s="54"/>
      <c r="N199" s="66"/>
      <c r="O199" s="66"/>
      <c r="P199" s="66"/>
      <c r="Q199" s="66"/>
    </row>
    <row r="200" spans="1:17" ht="15" customHeight="1" thickBot="1" x14ac:dyDescent="0.5"/>
    <row r="201" spans="1:17" ht="15" customHeight="1" x14ac:dyDescent="0.45">
      <c r="A201" s="23" t="s">
        <v>133</v>
      </c>
      <c r="B201" s="48"/>
      <c r="C201" s="48"/>
      <c r="D201" s="48"/>
      <c r="E201" s="48"/>
      <c r="M201" s="23"/>
      <c r="N201" s="48"/>
      <c r="O201" s="48"/>
      <c r="P201" s="48"/>
      <c r="Q201" s="48"/>
    </row>
    <row r="202" spans="1:17" ht="15" customHeight="1" x14ac:dyDescent="0.45">
      <c r="A202" s="56" t="s">
        <v>134</v>
      </c>
      <c r="B202" s="25"/>
      <c r="C202" s="25"/>
      <c r="D202" s="25"/>
      <c r="E202" s="25"/>
      <c r="M202" s="56"/>
      <c r="N202" s="25"/>
      <c r="O202" s="25"/>
      <c r="P202" s="25"/>
      <c r="Q202" s="25"/>
    </row>
    <row r="203" spans="1:17" ht="15" customHeight="1" x14ac:dyDescent="0.45">
      <c r="A203" s="56" t="s">
        <v>252</v>
      </c>
      <c r="B203" s="20"/>
      <c r="C203" s="20"/>
      <c r="D203" s="20"/>
      <c r="E203" s="20"/>
      <c r="M203" s="56"/>
      <c r="N203" s="20"/>
      <c r="O203" s="20"/>
      <c r="P203" s="20"/>
      <c r="Q203" s="20"/>
    </row>
    <row r="204" spans="1:17" ht="15" customHeight="1" x14ac:dyDescent="0.45">
      <c r="A204" s="56" t="s">
        <v>253</v>
      </c>
      <c r="B204" s="25"/>
      <c r="C204" s="25"/>
      <c r="D204" s="25"/>
      <c r="E204" s="25"/>
      <c r="M204" s="56"/>
      <c r="N204" s="25"/>
      <c r="O204" s="25"/>
      <c r="P204" s="25"/>
      <c r="Q204" s="25"/>
    </row>
    <row r="205" spans="1:17" ht="15" customHeight="1" x14ac:dyDescent="0.45">
      <c r="A205" s="56" t="s">
        <v>135</v>
      </c>
      <c r="B205" s="20"/>
      <c r="C205" s="20"/>
      <c r="D205" s="20"/>
      <c r="E205" s="20"/>
      <c r="M205" s="56"/>
      <c r="N205" s="20"/>
      <c r="O205" s="20"/>
      <c r="P205" s="20"/>
      <c r="Q205" s="20"/>
    </row>
    <row r="206" spans="1:17" ht="15" customHeight="1" x14ac:dyDescent="0.45">
      <c r="A206" s="56" t="s">
        <v>136</v>
      </c>
      <c r="B206" s="25"/>
      <c r="C206" s="25"/>
      <c r="D206" s="25"/>
      <c r="E206" s="25"/>
      <c r="M206" s="56"/>
      <c r="N206" s="25"/>
      <c r="O206" s="25"/>
      <c r="P206" s="25"/>
      <c r="Q206" s="25"/>
    </row>
    <row r="207" spans="1:17" ht="15" customHeight="1" x14ac:dyDescent="0.45">
      <c r="A207" s="56" t="s">
        <v>137</v>
      </c>
      <c r="B207" s="20"/>
      <c r="C207" s="20"/>
      <c r="D207" s="20"/>
      <c r="E207" s="20"/>
      <c r="M207" s="56"/>
      <c r="N207" s="20"/>
      <c r="O207" s="20"/>
      <c r="P207" s="20"/>
      <c r="Q207" s="20"/>
    </row>
    <row r="208" spans="1:17" ht="15" customHeight="1" x14ac:dyDescent="0.45">
      <c r="A208" s="56" t="s">
        <v>138</v>
      </c>
      <c r="B208" s="25"/>
      <c r="C208" s="25"/>
      <c r="D208" s="25"/>
      <c r="E208" s="25"/>
      <c r="M208" s="56"/>
      <c r="N208" s="25"/>
      <c r="O208" s="25"/>
      <c r="P208" s="25"/>
      <c r="Q208" s="25"/>
    </row>
    <row r="209" spans="1:17" ht="15" customHeight="1" x14ac:dyDescent="0.45">
      <c r="A209" s="56" t="s">
        <v>139</v>
      </c>
      <c r="B209" s="20"/>
      <c r="C209" s="20"/>
      <c r="D209" s="20"/>
      <c r="E209" s="20"/>
      <c r="M209" s="56"/>
      <c r="N209" s="20"/>
      <c r="O209" s="20"/>
      <c r="P209" s="20"/>
      <c r="Q209" s="20"/>
    </row>
    <row r="210" spans="1:17" ht="15" customHeight="1" thickBot="1" x14ac:dyDescent="0.5">
      <c r="A210" s="56" t="s">
        <v>140</v>
      </c>
      <c r="B210" s="66"/>
      <c r="C210" s="66"/>
      <c r="D210" s="66"/>
      <c r="E210" s="66"/>
      <c r="M210" s="56"/>
      <c r="N210" s="66"/>
      <c r="O210" s="66"/>
      <c r="P210" s="66"/>
      <c r="Q210" s="66"/>
    </row>
    <row r="211" spans="1:17" ht="15" customHeight="1" thickBot="1" x14ac:dyDescent="0.5"/>
    <row r="212" spans="1:17" ht="15" customHeight="1" x14ac:dyDescent="0.45">
      <c r="A212" s="23" t="s">
        <v>381</v>
      </c>
      <c r="B212" s="48"/>
      <c r="C212" s="48"/>
      <c r="D212" s="48"/>
      <c r="E212" s="48"/>
      <c r="M212" s="23"/>
      <c r="N212" s="48"/>
      <c r="O212" s="48"/>
      <c r="P212" s="48"/>
      <c r="Q212" s="48"/>
    </row>
    <row r="213" spans="1:17" ht="15" customHeight="1" thickBot="1" x14ac:dyDescent="0.5">
      <c r="A213" s="56" t="s">
        <v>165</v>
      </c>
      <c r="B213" s="66"/>
      <c r="C213" s="66"/>
      <c r="D213" s="66"/>
      <c r="E213" s="66"/>
      <c r="M213" s="56"/>
      <c r="N213" s="66"/>
      <c r="O213" s="66"/>
      <c r="P213" s="66"/>
      <c r="Q213" s="66"/>
    </row>
    <row r="214" spans="1:17" ht="15" customHeight="1" thickBot="1" x14ac:dyDescent="0.5">
      <c r="A214" s="28"/>
      <c r="B214" s="30"/>
      <c r="C214" s="30"/>
      <c r="D214" s="30"/>
      <c r="E214" s="30"/>
      <c r="M214" s="28"/>
      <c r="N214" s="30"/>
      <c r="O214" s="30"/>
      <c r="P214" s="30"/>
      <c r="Q214" s="30"/>
    </row>
    <row r="215" spans="1:17" ht="15" customHeight="1" x14ac:dyDescent="0.45">
      <c r="A215" s="23" t="s">
        <v>382</v>
      </c>
      <c r="B215" s="48"/>
      <c r="C215" s="48"/>
      <c r="D215" s="48"/>
      <c r="E215" s="48"/>
      <c r="M215" s="23"/>
      <c r="N215" s="48"/>
      <c r="O215" s="48"/>
      <c r="P215" s="48"/>
      <c r="Q215" s="48"/>
    </row>
    <row r="216" spans="1:17" ht="15" customHeight="1" thickBot="1" x14ac:dyDescent="0.5">
      <c r="A216" s="56" t="s">
        <v>165</v>
      </c>
      <c r="B216" s="66"/>
      <c r="C216" s="66"/>
      <c r="D216" s="66"/>
      <c r="E216" s="66"/>
      <c r="M216" s="56"/>
      <c r="N216" s="66"/>
      <c r="O216" s="66"/>
      <c r="P216" s="66"/>
      <c r="Q216" s="66"/>
    </row>
    <row r="217" spans="1:17" ht="15" customHeight="1" thickBot="1" x14ac:dyDescent="0.5"/>
    <row r="218" spans="1:17" ht="15" customHeight="1" x14ac:dyDescent="0.45">
      <c r="A218" s="23" t="s">
        <v>141</v>
      </c>
      <c r="B218" s="48"/>
      <c r="C218" s="48"/>
      <c r="D218" s="48"/>
      <c r="E218" s="48"/>
      <c r="M218" s="23"/>
      <c r="N218" s="48"/>
      <c r="O218" s="48"/>
      <c r="P218" s="48"/>
      <c r="Q218" s="48"/>
    </row>
    <row r="219" spans="1:17" ht="15" customHeight="1" x14ac:dyDescent="0.45">
      <c r="A219" s="49" t="s">
        <v>142</v>
      </c>
      <c r="B219" s="95"/>
      <c r="C219" s="95"/>
      <c r="D219" s="95"/>
      <c r="E219" s="95"/>
      <c r="M219" s="49"/>
      <c r="N219" s="95"/>
      <c r="O219" s="95"/>
      <c r="P219" s="95"/>
      <c r="Q219" s="95"/>
    </row>
    <row r="220" spans="1:17" ht="15" customHeight="1" thickBot="1" x14ac:dyDescent="0.5">
      <c r="A220" s="51" t="s">
        <v>143</v>
      </c>
      <c r="B220" s="60"/>
      <c r="C220" s="60"/>
      <c r="D220" s="60"/>
      <c r="E220" s="60"/>
      <c r="M220" s="51"/>
      <c r="N220" s="60"/>
      <c r="O220" s="60"/>
      <c r="P220" s="60"/>
      <c r="Q220" s="60"/>
    </row>
    <row r="221" spans="1:17" ht="15" customHeight="1" thickBot="1" x14ac:dyDescent="0.5"/>
    <row r="222" spans="1:17" ht="15" customHeight="1" x14ac:dyDescent="0.45">
      <c r="A222" s="23" t="s">
        <v>383</v>
      </c>
      <c r="B222" s="48"/>
      <c r="C222" s="48"/>
      <c r="D222" s="48"/>
      <c r="E222" s="48"/>
      <c r="M222" s="23"/>
      <c r="N222" s="48"/>
      <c r="O222" s="48"/>
      <c r="P222" s="48"/>
      <c r="Q222" s="48"/>
    </row>
    <row r="223" spans="1:17" ht="15" customHeight="1" x14ac:dyDescent="0.45">
      <c r="A223" s="49" t="s">
        <v>142</v>
      </c>
      <c r="B223" s="95"/>
      <c r="C223" s="95"/>
      <c r="D223" s="95"/>
      <c r="E223" s="95"/>
      <c r="M223" s="49"/>
      <c r="N223" s="95"/>
      <c r="O223" s="95"/>
      <c r="P223" s="95"/>
      <c r="Q223" s="95"/>
    </row>
    <row r="224" spans="1:17" ht="15" customHeight="1" thickBot="1" x14ac:dyDescent="0.5">
      <c r="A224" s="51" t="s">
        <v>143</v>
      </c>
      <c r="B224" s="60"/>
      <c r="C224" s="60"/>
      <c r="D224" s="60"/>
      <c r="E224" s="60"/>
      <c r="M224" s="51"/>
      <c r="N224" s="60"/>
      <c r="O224" s="60"/>
      <c r="P224" s="60"/>
      <c r="Q224" s="60"/>
    </row>
    <row r="225" spans="1:17" ht="15" customHeight="1" thickBot="1" x14ac:dyDescent="0.5"/>
    <row r="226" spans="1:17" ht="15" customHeight="1" x14ac:dyDescent="0.45">
      <c r="A226" s="23" t="s">
        <v>144</v>
      </c>
      <c r="B226" s="48"/>
      <c r="C226" s="48"/>
      <c r="D226" s="48"/>
      <c r="E226" s="48"/>
      <c r="M226" s="23"/>
      <c r="N226" s="48"/>
      <c r="O226" s="48"/>
      <c r="P226" s="48"/>
      <c r="Q226" s="48"/>
    </row>
    <row r="227" spans="1:17" ht="15" customHeight="1" x14ac:dyDescent="0.45">
      <c r="A227" s="56" t="s">
        <v>254</v>
      </c>
      <c r="B227" s="25"/>
      <c r="C227" s="25"/>
      <c r="D227" s="25"/>
      <c r="E227" s="25"/>
      <c r="M227" s="56"/>
      <c r="N227" s="25"/>
      <c r="O227" s="25"/>
      <c r="P227" s="25"/>
      <c r="Q227" s="25"/>
    </row>
    <row r="228" spans="1:17" ht="15" customHeight="1" x14ac:dyDescent="0.45">
      <c r="A228" s="56" t="s">
        <v>255</v>
      </c>
      <c r="B228" s="20"/>
      <c r="C228" s="20"/>
      <c r="D228" s="20"/>
      <c r="E228" s="20"/>
      <c r="M228" s="56"/>
      <c r="N228" s="20"/>
      <c r="O228" s="20"/>
      <c r="P228" s="20"/>
      <c r="Q228" s="20"/>
    </row>
    <row r="229" spans="1:17" ht="15" customHeight="1" x14ac:dyDescent="0.45">
      <c r="A229" s="56" t="s">
        <v>145</v>
      </c>
      <c r="B229" s="25"/>
      <c r="C229" s="25"/>
      <c r="D229" s="25"/>
      <c r="E229" s="25"/>
      <c r="M229" s="56"/>
      <c r="N229" s="25"/>
      <c r="O229" s="25"/>
      <c r="P229" s="25"/>
      <c r="Q229" s="25"/>
    </row>
    <row r="230" spans="1:17" ht="15" customHeight="1" x14ac:dyDescent="0.45">
      <c r="A230" s="56" t="s">
        <v>256</v>
      </c>
      <c r="B230" s="20"/>
      <c r="C230" s="20"/>
      <c r="D230" s="20"/>
      <c r="E230" s="20"/>
      <c r="M230" s="56"/>
      <c r="N230" s="20"/>
      <c r="O230" s="20"/>
      <c r="P230" s="20"/>
      <c r="Q230" s="20"/>
    </row>
    <row r="231" spans="1:17" ht="15" customHeight="1" x14ac:dyDescent="0.45">
      <c r="A231" s="56" t="s">
        <v>257</v>
      </c>
      <c r="B231" s="25"/>
      <c r="C231" s="25"/>
      <c r="D231" s="25"/>
      <c r="E231" s="25"/>
      <c r="M231" s="56"/>
      <c r="N231" s="25"/>
      <c r="O231" s="25"/>
      <c r="P231" s="25"/>
      <c r="Q231" s="25"/>
    </row>
    <row r="232" spans="1:17" ht="15" customHeight="1" x14ac:dyDescent="0.45">
      <c r="A232" s="56" t="s">
        <v>258</v>
      </c>
      <c r="B232" s="20"/>
      <c r="C232" s="20"/>
      <c r="D232" s="20"/>
      <c r="E232" s="20"/>
      <c r="M232" s="56"/>
      <c r="N232" s="20"/>
      <c r="O232" s="20"/>
      <c r="P232" s="20"/>
      <c r="Q232" s="20"/>
    </row>
    <row r="233" spans="1:17" ht="15" customHeight="1" x14ac:dyDescent="0.45">
      <c r="A233" s="56" t="s">
        <v>259</v>
      </c>
      <c r="B233" s="25"/>
      <c r="C233" s="25"/>
      <c r="D233" s="25"/>
      <c r="E233" s="25"/>
      <c r="M233" s="56"/>
      <c r="N233" s="25"/>
      <c r="O233" s="25"/>
      <c r="P233" s="25"/>
      <c r="Q233" s="25"/>
    </row>
    <row r="234" spans="1:17" ht="15" customHeight="1" thickBot="1" x14ac:dyDescent="0.5">
      <c r="A234" s="56" t="s">
        <v>260</v>
      </c>
      <c r="B234" s="26"/>
      <c r="C234" s="26"/>
      <c r="D234" s="26"/>
      <c r="E234" s="26"/>
      <c r="M234" s="56"/>
      <c r="N234" s="26"/>
      <c r="O234" s="26"/>
      <c r="P234" s="26"/>
      <c r="Q234" s="26"/>
    </row>
    <row r="236" spans="1:17" ht="15" customHeight="1" x14ac:dyDescent="0.45">
      <c r="A236" s="29" t="s">
        <v>261</v>
      </c>
      <c r="M236" s="29"/>
    </row>
    <row r="237" spans="1:17" ht="15" customHeight="1" thickBot="1" x14ac:dyDescent="0.5"/>
    <row r="238" spans="1:17" ht="15" customHeight="1" thickBot="1" x14ac:dyDescent="0.5">
      <c r="A238" s="32" t="s">
        <v>27</v>
      </c>
      <c r="B238" s="67"/>
      <c r="M238" s="32"/>
      <c r="N238" s="67"/>
    </row>
    <row r="239" spans="1:17" ht="15" customHeight="1" x14ac:dyDescent="0.45">
      <c r="A239" s="68" t="s">
        <v>33</v>
      </c>
      <c r="B239" s="25"/>
      <c r="M239" s="68"/>
      <c r="N239" s="25"/>
    </row>
    <row r="240" spans="1:17" ht="15" customHeight="1" x14ac:dyDescent="0.45">
      <c r="A240" s="68" t="s">
        <v>36</v>
      </c>
      <c r="B240" s="20"/>
      <c r="M240" s="68"/>
      <c r="N240" s="20"/>
    </row>
    <row r="241" spans="1:14" ht="15" customHeight="1" x14ac:dyDescent="0.45">
      <c r="A241" s="68" t="s">
        <v>38</v>
      </c>
      <c r="B241" s="25"/>
      <c r="M241" s="68"/>
      <c r="N241" s="25"/>
    </row>
    <row r="242" spans="1:14" ht="15" customHeight="1" x14ac:dyDescent="0.45">
      <c r="A242" s="68" t="s">
        <v>40</v>
      </c>
      <c r="B242" s="20"/>
      <c r="M242" s="68"/>
      <c r="N242" s="20"/>
    </row>
    <row r="243" spans="1:14" ht="15" customHeight="1" x14ac:dyDescent="0.45">
      <c r="A243" s="68" t="s">
        <v>42</v>
      </c>
      <c r="B243" s="25"/>
      <c r="M243" s="68"/>
      <c r="N243" s="25"/>
    </row>
    <row r="244" spans="1:14" ht="15" customHeight="1" thickBot="1" x14ac:dyDescent="0.5">
      <c r="A244" s="54" t="s">
        <v>44</v>
      </c>
      <c r="B244" s="26"/>
      <c r="M244" s="54"/>
      <c r="N244" s="26"/>
    </row>
    <row r="245" spans="1:14" ht="15" customHeight="1" thickBot="1" x14ac:dyDescent="0.5"/>
    <row r="246" spans="1:14" ht="15" customHeight="1" thickBot="1" x14ac:dyDescent="0.5">
      <c r="A246" s="32" t="s">
        <v>51</v>
      </c>
      <c r="B246" s="67"/>
      <c r="M246" s="32"/>
      <c r="N246" s="67"/>
    </row>
    <row r="247" spans="1:14" ht="15" customHeight="1" x14ac:dyDescent="0.45">
      <c r="A247" s="68" t="s">
        <v>33</v>
      </c>
      <c r="B247" s="25"/>
      <c r="M247" s="68"/>
      <c r="N247" s="25"/>
    </row>
    <row r="248" spans="1:14" ht="15" customHeight="1" x14ac:dyDescent="0.45">
      <c r="A248" s="68" t="s">
        <v>36</v>
      </c>
      <c r="B248" s="20"/>
      <c r="M248" s="68"/>
      <c r="N248" s="20"/>
    </row>
    <row r="249" spans="1:14" ht="15" customHeight="1" x14ac:dyDescent="0.45">
      <c r="A249" s="68" t="s">
        <v>38</v>
      </c>
      <c r="B249" s="25"/>
      <c r="M249" s="68"/>
      <c r="N249" s="25"/>
    </row>
    <row r="250" spans="1:14" ht="15" customHeight="1" x14ac:dyDescent="0.45">
      <c r="A250" s="68" t="s">
        <v>40</v>
      </c>
      <c r="B250" s="20"/>
      <c r="M250" s="68"/>
      <c r="N250" s="20"/>
    </row>
    <row r="251" spans="1:14" ht="15" customHeight="1" x14ac:dyDescent="0.45">
      <c r="A251" s="68" t="s">
        <v>42</v>
      </c>
      <c r="B251" s="25"/>
      <c r="M251" s="68"/>
      <c r="N251" s="25"/>
    </row>
    <row r="252" spans="1:14" ht="15" customHeight="1" thickBot="1" x14ac:dyDescent="0.5">
      <c r="A252" s="69" t="s">
        <v>44</v>
      </c>
      <c r="B252" s="26"/>
      <c r="M252" s="69"/>
      <c r="N252" s="26"/>
    </row>
    <row r="253" spans="1:14" ht="15" customHeight="1" thickBot="1" x14ac:dyDescent="0.5"/>
    <row r="254" spans="1:14" ht="15" customHeight="1" thickBot="1" x14ac:dyDescent="0.5">
      <c r="A254" s="32" t="s">
        <v>59</v>
      </c>
      <c r="B254" s="67"/>
      <c r="M254" s="32"/>
      <c r="N254" s="67"/>
    </row>
    <row r="255" spans="1:14" ht="15" customHeight="1" x14ac:dyDescent="0.45">
      <c r="A255" s="68" t="s">
        <v>61</v>
      </c>
      <c r="B255" s="12"/>
      <c r="M255" s="68"/>
      <c r="N255" s="12"/>
    </row>
    <row r="256" spans="1:14" ht="15" customHeight="1" x14ac:dyDescent="0.45">
      <c r="A256" s="68" t="s">
        <v>63</v>
      </c>
      <c r="B256" s="13"/>
      <c r="M256" s="68"/>
      <c r="N256" s="13"/>
    </row>
    <row r="257" spans="1:15" ht="15" customHeight="1" x14ac:dyDescent="0.45">
      <c r="A257" s="68" t="s">
        <v>65</v>
      </c>
      <c r="B257" s="12"/>
      <c r="M257" s="68"/>
      <c r="N257" s="12"/>
    </row>
    <row r="258" spans="1:15" ht="15" customHeight="1" thickBot="1" x14ac:dyDescent="0.5">
      <c r="A258" s="69" t="s">
        <v>67</v>
      </c>
      <c r="B258" s="13"/>
      <c r="M258" s="69"/>
      <c r="N258" s="13"/>
    </row>
    <row r="260" spans="1:15" ht="15" customHeight="1" x14ac:dyDescent="0.45">
      <c r="A260" s="29" t="s">
        <v>262</v>
      </c>
      <c r="M260" s="29"/>
    </row>
    <row r="261" spans="1:15" ht="15" customHeight="1" thickBot="1" x14ac:dyDescent="0.5"/>
    <row r="262" spans="1:15" ht="15" customHeight="1" thickBot="1" x14ac:dyDescent="0.5">
      <c r="A262" s="70" t="s">
        <v>384</v>
      </c>
      <c r="B262" s="48"/>
      <c r="C262" s="48"/>
      <c r="M262" s="70"/>
      <c r="N262" s="48"/>
      <c r="O262" s="48"/>
    </row>
    <row r="263" spans="1:15" ht="15" customHeight="1" x14ac:dyDescent="0.45">
      <c r="A263" s="71" t="s">
        <v>264</v>
      </c>
      <c r="B263" s="72"/>
      <c r="C263" s="72"/>
      <c r="M263" s="71"/>
      <c r="N263" s="72"/>
      <c r="O263" s="72"/>
    </row>
    <row r="264" spans="1:15" ht="15" customHeight="1" x14ac:dyDescent="0.45">
      <c r="A264" s="73" t="s">
        <v>265</v>
      </c>
      <c r="B264" s="74"/>
      <c r="C264" s="74"/>
      <c r="M264" s="73"/>
      <c r="N264" s="74"/>
      <c r="O264" s="74"/>
    </row>
    <row r="265" spans="1:15" ht="15" customHeight="1" x14ac:dyDescent="0.45">
      <c r="A265" s="75" t="s">
        <v>266</v>
      </c>
      <c r="B265" s="76"/>
      <c r="C265" s="76"/>
      <c r="M265" s="75"/>
      <c r="N265" s="76"/>
      <c r="O265" s="76"/>
    </row>
    <row r="266" spans="1:15" ht="15" customHeight="1" x14ac:dyDescent="0.45">
      <c r="A266" s="75" t="s">
        <v>267</v>
      </c>
      <c r="B266" s="77"/>
      <c r="C266" s="77"/>
      <c r="M266" s="75"/>
      <c r="N266" s="77"/>
      <c r="O266" s="77"/>
    </row>
    <row r="267" spans="1:15" ht="15" customHeight="1" x14ac:dyDescent="0.45">
      <c r="A267" s="75" t="s">
        <v>268</v>
      </c>
      <c r="B267" s="76"/>
      <c r="C267" s="76"/>
      <c r="M267" s="75"/>
      <c r="N267" s="76"/>
      <c r="O267" s="76"/>
    </row>
    <row r="268" spans="1:15" ht="15" customHeight="1" x14ac:dyDescent="0.45">
      <c r="A268" s="75" t="s">
        <v>269</v>
      </c>
      <c r="B268" s="77"/>
      <c r="C268" s="77"/>
      <c r="M268" s="75"/>
      <c r="N268" s="77"/>
      <c r="O268" s="77"/>
    </row>
    <row r="269" spans="1:15" ht="15" customHeight="1" x14ac:dyDescent="0.45">
      <c r="A269" s="75" t="s">
        <v>270</v>
      </c>
      <c r="B269" s="76"/>
      <c r="C269" s="76"/>
      <c r="M269" s="75"/>
      <c r="N269" s="76"/>
      <c r="O269" s="76"/>
    </row>
    <row r="270" spans="1:15" ht="15" customHeight="1" x14ac:dyDescent="0.45">
      <c r="A270" s="75" t="s">
        <v>271</v>
      </c>
      <c r="B270" s="77"/>
      <c r="C270" s="77"/>
      <c r="M270" s="75"/>
      <c r="N270" s="77"/>
      <c r="O270" s="77"/>
    </row>
    <row r="271" spans="1:15" ht="15" customHeight="1" x14ac:dyDescent="0.45">
      <c r="A271" s="75" t="s">
        <v>272</v>
      </c>
      <c r="B271" s="76"/>
      <c r="C271" s="76"/>
      <c r="M271" s="75"/>
      <c r="N271" s="76"/>
      <c r="O271" s="76"/>
    </row>
    <row r="272" spans="1:15" ht="15" customHeight="1" x14ac:dyDescent="0.45">
      <c r="A272" s="75" t="s">
        <v>273</v>
      </c>
      <c r="B272" s="77"/>
      <c r="C272" s="77"/>
      <c r="M272" s="75"/>
      <c r="N272" s="77"/>
      <c r="O272" s="77"/>
    </row>
    <row r="273" spans="1:15" ht="15" customHeight="1" x14ac:dyDescent="0.45">
      <c r="A273" s="75" t="s">
        <v>274</v>
      </c>
      <c r="B273" s="76"/>
      <c r="C273" s="76"/>
      <c r="M273" s="75"/>
      <c r="N273" s="76"/>
      <c r="O273" s="76"/>
    </row>
    <row r="274" spans="1:15" ht="15" customHeight="1" x14ac:dyDescent="0.45">
      <c r="A274" s="75" t="s">
        <v>275</v>
      </c>
      <c r="B274" s="77"/>
      <c r="C274" s="77"/>
      <c r="M274" s="75"/>
      <c r="N274" s="77"/>
      <c r="O274" s="77"/>
    </row>
    <row r="275" spans="1:15" ht="15" customHeight="1" x14ac:dyDescent="0.45">
      <c r="A275" s="75" t="s">
        <v>276</v>
      </c>
      <c r="B275" s="76"/>
      <c r="C275" s="76"/>
      <c r="M275" s="75"/>
      <c r="N275" s="76"/>
      <c r="O275" s="76"/>
    </row>
    <row r="276" spans="1:15" ht="15" customHeight="1" x14ac:dyDescent="0.45">
      <c r="A276" s="75" t="s">
        <v>277</v>
      </c>
      <c r="B276" s="77"/>
      <c r="C276" s="77"/>
      <c r="M276" s="75"/>
      <c r="N276" s="77"/>
      <c r="O276" s="77"/>
    </row>
    <row r="277" spans="1:15" ht="15" customHeight="1" x14ac:dyDescent="0.45">
      <c r="A277" s="75" t="s">
        <v>278</v>
      </c>
      <c r="B277" s="76"/>
      <c r="C277" s="76"/>
      <c r="M277" s="75"/>
      <c r="N277" s="76"/>
      <c r="O277" s="76"/>
    </row>
    <row r="278" spans="1:15" ht="15" customHeight="1" x14ac:dyDescent="0.45">
      <c r="A278" s="75" t="s">
        <v>279</v>
      </c>
      <c r="B278" s="77"/>
      <c r="C278" s="77"/>
      <c r="M278" s="75"/>
      <c r="N278" s="77"/>
      <c r="O278" s="77"/>
    </row>
    <row r="279" spans="1:15" ht="15" customHeight="1" x14ac:dyDescent="0.45">
      <c r="A279" s="75" t="s">
        <v>280</v>
      </c>
      <c r="B279" s="76"/>
      <c r="C279" s="76"/>
      <c r="M279" s="75"/>
      <c r="N279" s="76"/>
      <c r="O279" s="76"/>
    </row>
    <row r="280" spans="1:15" ht="15" customHeight="1" x14ac:dyDescent="0.45">
      <c r="A280" s="75" t="s">
        <v>281</v>
      </c>
      <c r="B280" s="77"/>
      <c r="C280" s="77"/>
      <c r="M280" s="75"/>
      <c r="N280" s="77"/>
      <c r="O280" s="77"/>
    </row>
    <row r="281" spans="1:15" ht="15" customHeight="1" x14ac:dyDescent="0.45">
      <c r="A281" s="75" t="s">
        <v>282</v>
      </c>
      <c r="B281" s="76"/>
      <c r="C281" s="76"/>
      <c r="M281" s="75"/>
      <c r="N281" s="76"/>
      <c r="O281" s="76"/>
    </row>
    <row r="282" spans="1:15" ht="15" customHeight="1" x14ac:dyDescent="0.45">
      <c r="A282" s="75" t="s">
        <v>283</v>
      </c>
      <c r="B282" s="77"/>
      <c r="C282" s="77"/>
      <c r="M282" s="75"/>
      <c r="N282" s="77"/>
      <c r="O282" s="77"/>
    </row>
    <row r="283" spans="1:15" ht="15" customHeight="1" x14ac:dyDescent="0.45">
      <c r="A283" s="75" t="s">
        <v>284</v>
      </c>
      <c r="B283" s="76"/>
      <c r="C283" s="76"/>
      <c r="M283" s="75"/>
      <c r="N283" s="76"/>
      <c r="O283" s="76"/>
    </row>
    <row r="284" spans="1:15" ht="15" customHeight="1" x14ac:dyDescent="0.45">
      <c r="A284" s="75" t="s">
        <v>285</v>
      </c>
      <c r="B284" s="77"/>
      <c r="C284" s="77"/>
      <c r="M284" s="75"/>
      <c r="N284" s="77"/>
      <c r="O284" s="77"/>
    </row>
    <row r="285" spans="1:15" ht="15" customHeight="1" x14ac:dyDescent="0.45">
      <c r="A285" s="75" t="s">
        <v>286</v>
      </c>
      <c r="B285" s="76"/>
      <c r="C285" s="76"/>
      <c r="M285" s="75"/>
      <c r="N285" s="76"/>
      <c r="O285" s="76"/>
    </row>
    <row r="286" spans="1:15" ht="15" customHeight="1" thickBot="1" x14ac:dyDescent="0.5"/>
    <row r="287" spans="1:15" ht="15" customHeight="1" thickBot="1" x14ac:dyDescent="0.5">
      <c r="A287" s="70" t="s">
        <v>385</v>
      </c>
      <c r="B287" s="48"/>
      <c r="C287" s="48"/>
      <c r="M287" s="70"/>
      <c r="N287" s="48"/>
      <c r="O287" s="48"/>
    </row>
    <row r="288" spans="1:15" ht="15" customHeight="1" x14ac:dyDescent="0.45">
      <c r="A288" s="71" t="s">
        <v>287</v>
      </c>
      <c r="B288" s="72"/>
      <c r="C288" s="72"/>
      <c r="M288" s="71"/>
      <c r="N288" s="72"/>
      <c r="O288" s="72"/>
    </row>
    <row r="289" spans="1:15" ht="15" customHeight="1" x14ac:dyDescent="0.45">
      <c r="A289" s="73" t="s">
        <v>265</v>
      </c>
      <c r="B289" s="74"/>
      <c r="C289" s="74"/>
      <c r="M289" s="73"/>
      <c r="N289" s="74"/>
      <c r="O289" s="74"/>
    </row>
    <row r="290" spans="1:15" ht="15" customHeight="1" x14ac:dyDescent="0.45">
      <c r="A290" s="75" t="s">
        <v>288</v>
      </c>
      <c r="B290" s="76"/>
      <c r="C290" s="76"/>
      <c r="M290" s="75"/>
      <c r="N290" s="76"/>
      <c r="O290" s="76"/>
    </row>
    <row r="291" spans="1:15" ht="15" customHeight="1" x14ac:dyDescent="0.45">
      <c r="A291" s="75" t="s">
        <v>289</v>
      </c>
      <c r="B291" s="77"/>
      <c r="C291" s="77"/>
      <c r="M291" s="75"/>
      <c r="N291" s="77"/>
      <c r="O291" s="77"/>
    </row>
    <row r="292" spans="1:15" ht="15" customHeight="1" x14ac:dyDescent="0.45">
      <c r="A292" s="75" t="s">
        <v>290</v>
      </c>
      <c r="B292" s="76"/>
      <c r="C292" s="76"/>
      <c r="M292" s="75"/>
      <c r="N292" s="76"/>
      <c r="O292" s="76"/>
    </row>
    <row r="293" spans="1:15" ht="15" customHeight="1" x14ac:dyDescent="0.45">
      <c r="A293" s="75" t="s">
        <v>291</v>
      </c>
      <c r="B293" s="77"/>
      <c r="C293" s="77"/>
      <c r="M293" s="75"/>
      <c r="N293" s="77"/>
      <c r="O293" s="77"/>
    </row>
    <row r="294" spans="1:15" ht="15" customHeight="1" x14ac:dyDescent="0.45">
      <c r="A294" s="75" t="s">
        <v>292</v>
      </c>
      <c r="B294" s="76"/>
      <c r="C294" s="76"/>
      <c r="M294" s="75"/>
      <c r="N294" s="76"/>
      <c r="O294" s="76"/>
    </row>
    <row r="295" spans="1:15" ht="15" customHeight="1" x14ac:dyDescent="0.45">
      <c r="A295" s="75" t="s">
        <v>293</v>
      </c>
      <c r="B295" s="77"/>
      <c r="C295" s="77"/>
      <c r="M295" s="75"/>
      <c r="N295" s="77"/>
      <c r="O295" s="77"/>
    </row>
    <row r="296" spans="1:15" ht="15" customHeight="1" x14ac:dyDescent="0.45">
      <c r="A296" s="75" t="s">
        <v>294</v>
      </c>
      <c r="B296" s="76"/>
      <c r="C296" s="76"/>
      <c r="M296" s="75"/>
      <c r="N296" s="76"/>
      <c r="O296" s="76"/>
    </row>
    <row r="297" spans="1:15" ht="15" customHeight="1" x14ac:dyDescent="0.45">
      <c r="A297" s="75" t="s">
        <v>400</v>
      </c>
      <c r="B297" s="77"/>
      <c r="C297" s="77"/>
      <c r="M297" s="75"/>
      <c r="N297" s="77"/>
      <c r="O297" s="77"/>
    </row>
    <row r="298" spans="1:15" ht="15" customHeight="1" x14ac:dyDescent="0.45">
      <c r="A298" s="75" t="s">
        <v>401</v>
      </c>
      <c r="B298" s="76"/>
      <c r="C298" s="76"/>
      <c r="M298" s="75"/>
      <c r="N298" s="76"/>
      <c r="O298" s="76"/>
    </row>
    <row r="299" spans="1:15" ht="15" customHeight="1" x14ac:dyDescent="0.45">
      <c r="A299" s="75" t="s">
        <v>281</v>
      </c>
      <c r="B299" s="77"/>
      <c r="C299" s="77"/>
      <c r="M299" s="75"/>
      <c r="N299" s="77"/>
      <c r="O299" s="77"/>
    </row>
    <row r="300" spans="1:15" ht="15" customHeight="1" x14ac:dyDescent="0.45">
      <c r="A300" s="75" t="s">
        <v>282</v>
      </c>
      <c r="B300" s="76"/>
      <c r="C300" s="76"/>
      <c r="M300" s="75"/>
      <c r="N300" s="76"/>
      <c r="O300" s="76"/>
    </row>
    <row r="301" spans="1:15" ht="15" customHeight="1" x14ac:dyDescent="0.45">
      <c r="A301" s="75" t="s">
        <v>283</v>
      </c>
      <c r="B301" s="77"/>
      <c r="C301" s="77"/>
      <c r="M301" s="75"/>
      <c r="N301" s="77"/>
      <c r="O301" s="77"/>
    </row>
    <row r="302" spans="1:15" ht="15" customHeight="1" x14ac:dyDescent="0.45">
      <c r="A302" s="75" t="s">
        <v>284</v>
      </c>
      <c r="B302" s="76"/>
      <c r="C302" s="76"/>
      <c r="M302" s="75"/>
      <c r="N302" s="76"/>
      <c r="O302" s="76"/>
    </row>
    <row r="303" spans="1:15" ht="15" customHeight="1" x14ac:dyDescent="0.45">
      <c r="A303" s="75" t="s">
        <v>285</v>
      </c>
      <c r="B303" s="77"/>
      <c r="C303" s="77"/>
      <c r="M303" s="75"/>
      <c r="N303" s="77"/>
      <c r="O303" s="77"/>
    </row>
    <row r="304" spans="1:15" ht="15" customHeight="1" x14ac:dyDescent="0.45">
      <c r="A304" s="75" t="s">
        <v>286</v>
      </c>
      <c r="B304" s="76"/>
      <c r="C304" s="76"/>
      <c r="M304" s="75"/>
      <c r="N304" s="76"/>
      <c r="O304" s="76"/>
    </row>
    <row r="305" spans="1:15" ht="15" customHeight="1" thickBot="1" x14ac:dyDescent="0.5"/>
    <row r="306" spans="1:15" ht="15" customHeight="1" thickBot="1" x14ac:dyDescent="0.5">
      <c r="A306" s="70" t="s">
        <v>386</v>
      </c>
      <c r="B306" s="48"/>
      <c r="C306" s="48"/>
      <c r="M306" s="70"/>
      <c r="N306" s="48"/>
      <c r="O306" s="48"/>
    </row>
    <row r="307" spans="1:15" ht="15" customHeight="1" x14ac:dyDescent="0.45">
      <c r="A307" s="71" t="s">
        <v>296</v>
      </c>
      <c r="B307" s="72"/>
      <c r="C307" s="72"/>
      <c r="M307" s="71"/>
      <c r="N307" s="72"/>
      <c r="O307" s="72"/>
    </row>
    <row r="308" spans="1:15" ht="15" customHeight="1" x14ac:dyDescent="0.45">
      <c r="A308" s="73" t="s">
        <v>297</v>
      </c>
      <c r="B308" s="74"/>
      <c r="C308" s="74"/>
      <c r="M308" s="73"/>
      <c r="N308" s="74"/>
      <c r="O308" s="74"/>
    </row>
    <row r="309" spans="1:15" ht="15" customHeight="1" x14ac:dyDescent="0.45">
      <c r="A309" s="75" t="s">
        <v>298</v>
      </c>
      <c r="B309" s="76"/>
      <c r="C309" s="76"/>
      <c r="M309" s="75"/>
      <c r="N309" s="76"/>
      <c r="O309" s="76"/>
    </row>
    <row r="310" spans="1:15" ht="15" customHeight="1" x14ac:dyDescent="0.45">
      <c r="A310" s="75" t="s">
        <v>299</v>
      </c>
      <c r="B310" s="77"/>
      <c r="C310" s="77"/>
      <c r="M310" s="75"/>
      <c r="N310" s="77"/>
      <c r="O310" s="77"/>
    </row>
    <row r="311" spans="1:15" ht="15" customHeight="1" x14ac:dyDescent="0.45">
      <c r="A311" s="75" t="s">
        <v>300</v>
      </c>
      <c r="B311" s="76"/>
      <c r="C311" s="76"/>
      <c r="M311" s="75"/>
      <c r="N311" s="76"/>
      <c r="O311" s="76"/>
    </row>
    <row r="312" spans="1:15" ht="15" customHeight="1" x14ac:dyDescent="0.45">
      <c r="A312" s="75" t="s">
        <v>301</v>
      </c>
      <c r="B312" s="77"/>
      <c r="C312" s="77"/>
      <c r="M312" s="75"/>
      <c r="N312" s="77"/>
      <c r="O312" s="77"/>
    </row>
    <row r="313" spans="1:15" ht="15" customHeight="1" x14ac:dyDescent="0.45">
      <c r="A313" s="75" t="s">
        <v>302</v>
      </c>
      <c r="B313" s="76"/>
      <c r="C313" s="76"/>
      <c r="M313" s="75"/>
      <c r="N313" s="76"/>
      <c r="O313" s="76"/>
    </row>
    <row r="314" spans="1:15" ht="15" customHeight="1" thickBot="1" x14ac:dyDescent="0.5"/>
    <row r="315" spans="1:15" ht="15" customHeight="1" thickBot="1" x14ac:dyDescent="0.5">
      <c r="A315" s="70" t="s">
        <v>387</v>
      </c>
      <c r="B315" s="48"/>
      <c r="C315" s="48"/>
      <c r="M315" s="70"/>
      <c r="N315" s="48"/>
      <c r="O315" s="48"/>
    </row>
    <row r="316" spans="1:15" ht="15" customHeight="1" x14ac:dyDescent="0.45">
      <c r="A316" s="71" t="s">
        <v>303</v>
      </c>
      <c r="B316" s="72"/>
      <c r="C316" s="72"/>
      <c r="M316" s="71"/>
      <c r="N316" s="72"/>
      <c r="O316" s="72"/>
    </row>
    <row r="317" spans="1:15" ht="15" customHeight="1" x14ac:dyDescent="0.45">
      <c r="A317" s="73" t="s">
        <v>304</v>
      </c>
      <c r="B317" s="74"/>
      <c r="C317" s="74"/>
      <c r="M317" s="73"/>
      <c r="N317" s="74"/>
      <c r="O317" s="74"/>
    </row>
    <row r="318" spans="1:15" ht="15" customHeight="1" x14ac:dyDescent="0.45">
      <c r="A318" s="75" t="s">
        <v>305</v>
      </c>
      <c r="B318" s="76"/>
      <c r="C318" s="76"/>
      <c r="M318" s="75"/>
      <c r="N318" s="76"/>
      <c r="O318" s="76"/>
    </row>
    <row r="319" spans="1:15" ht="15" customHeight="1" x14ac:dyDescent="0.45">
      <c r="A319" s="75" t="s">
        <v>306</v>
      </c>
      <c r="B319" s="77"/>
      <c r="C319" s="77"/>
      <c r="M319" s="75"/>
      <c r="N319" s="77"/>
      <c r="O319" s="77"/>
    </row>
    <row r="320" spans="1:15" ht="15" customHeight="1" x14ac:dyDescent="0.45">
      <c r="A320" s="75" t="s">
        <v>307</v>
      </c>
      <c r="B320" s="76"/>
      <c r="C320" s="76"/>
      <c r="M320" s="75"/>
      <c r="N320" s="76"/>
      <c r="O320" s="76"/>
    </row>
    <row r="321" spans="1:15" ht="15" customHeight="1" x14ac:dyDescent="0.45">
      <c r="A321" s="75" t="s">
        <v>308</v>
      </c>
      <c r="B321" s="77"/>
      <c r="C321" s="77"/>
      <c r="M321" s="75"/>
      <c r="N321" s="77"/>
      <c r="O321" s="77"/>
    </row>
    <row r="322" spans="1:15" ht="15" customHeight="1" x14ac:dyDescent="0.45">
      <c r="A322" s="75" t="s">
        <v>309</v>
      </c>
      <c r="B322" s="76"/>
      <c r="C322" s="76"/>
      <c r="M322" s="75"/>
      <c r="N322" s="76"/>
      <c r="O322" s="76"/>
    </row>
    <row r="323" spans="1:15" ht="15" customHeight="1" x14ac:dyDescent="0.45">
      <c r="A323" s="75" t="s">
        <v>310</v>
      </c>
      <c r="B323" s="77"/>
      <c r="C323" s="77"/>
      <c r="M323" s="75"/>
      <c r="N323" s="77"/>
      <c r="O323" s="77"/>
    </row>
    <row r="324" spans="1:15" ht="15" customHeight="1" x14ac:dyDescent="0.45">
      <c r="A324" s="75" t="s">
        <v>311</v>
      </c>
      <c r="B324" s="76"/>
      <c r="C324" s="76"/>
      <c r="M324" s="75"/>
      <c r="N324" s="76"/>
      <c r="O324" s="76"/>
    </row>
    <row r="325" spans="1:15" ht="15" customHeight="1" x14ac:dyDescent="0.45">
      <c r="A325" s="75" t="s">
        <v>312</v>
      </c>
      <c r="B325" s="77"/>
      <c r="C325" s="77"/>
      <c r="M325" s="75"/>
      <c r="N325" s="77"/>
      <c r="O325" s="77"/>
    </row>
    <row r="326" spans="1:15" ht="15" customHeight="1" x14ac:dyDescent="0.45">
      <c r="A326" s="75" t="s">
        <v>313</v>
      </c>
      <c r="B326" s="76"/>
      <c r="C326" s="76"/>
      <c r="M326" s="75"/>
      <c r="N326" s="76"/>
      <c r="O326" s="76"/>
    </row>
    <row r="327" spans="1:15" ht="15" customHeight="1" x14ac:dyDescent="0.45">
      <c r="A327" s="75" t="s">
        <v>314</v>
      </c>
      <c r="B327" s="77"/>
      <c r="C327" s="77"/>
      <c r="M327" s="75"/>
      <c r="N327" s="77"/>
      <c r="O327" s="77"/>
    </row>
    <row r="328" spans="1:15" ht="15" customHeight="1" x14ac:dyDescent="0.45">
      <c r="A328" s="75" t="s">
        <v>315</v>
      </c>
      <c r="B328" s="76"/>
      <c r="C328" s="76"/>
      <c r="M328" s="75"/>
      <c r="N328" s="76"/>
      <c r="O328" s="76"/>
    </row>
    <row r="329" spans="1:15" ht="15" customHeight="1" x14ac:dyDescent="0.45">
      <c r="A329" s="75" t="s">
        <v>316</v>
      </c>
      <c r="B329" s="77"/>
      <c r="C329" s="77"/>
      <c r="M329" s="75"/>
      <c r="N329" s="77"/>
      <c r="O329" s="77"/>
    </row>
    <row r="330" spans="1:15" ht="15" customHeight="1" x14ac:dyDescent="0.45">
      <c r="A330" s="75" t="s">
        <v>317</v>
      </c>
      <c r="B330" s="76"/>
      <c r="C330" s="76"/>
      <c r="M330" s="75"/>
      <c r="N330" s="76"/>
      <c r="O330" s="76"/>
    </row>
    <row r="331" spans="1:15" ht="15" customHeight="1" x14ac:dyDescent="0.45">
      <c r="A331" s="75" t="s">
        <v>318</v>
      </c>
      <c r="B331" s="77"/>
      <c r="C331" s="77"/>
      <c r="M331" s="75"/>
      <c r="N331" s="77"/>
      <c r="O331" s="77"/>
    </row>
    <row r="332" spans="1:15" ht="15" customHeight="1" x14ac:dyDescent="0.45">
      <c r="A332" s="75" t="s">
        <v>319</v>
      </c>
      <c r="B332" s="76"/>
      <c r="C332" s="76"/>
      <c r="M332" s="75"/>
      <c r="N332" s="76"/>
      <c r="O332" s="76"/>
    </row>
    <row r="333" spans="1:15" ht="15" customHeight="1" x14ac:dyDescent="0.45">
      <c r="A333" s="75" t="s">
        <v>320</v>
      </c>
      <c r="B333" s="77"/>
      <c r="C333" s="77"/>
      <c r="M333" s="75"/>
      <c r="N333" s="77"/>
      <c r="O333" s="77"/>
    </row>
    <row r="334" spans="1:15" ht="15" customHeight="1" x14ac:dyDescent="0.45">
      <c r="A334" s="75" t="s">
        <v>321</v>
      </c>
      <c r="B334" s="76"/>
      <c r="C334" s="76"/>
      <c r="M334" s="75"/>
      <c r="N334" s="76"/>
      <c r="O334" s="76"/>
    </row>
    <row r="335" spans="1:15" ht="15" customHeight="1" thickBot="1" x14ac:dyDescent="0.5"/>
    <row r="336" spans="1:15" ht="15" customHeight="1" thickBot="1" x14ac:dyDescent="0.5">
      <c r="A336" s="70" t="s">
        <v>388</v>
      </c>
      <c r="B336" s="48"/>
      <c r="C336" s="48"/>
      <c r="M336" s="70"/>
      <c r="N336" s="48"/>
      <c r="O336" s="48"/>
    </row>
    <row r="337" spans="1:15" ht="15" customHeight="1" x14ac:dyDescent="0.45">
      <c r="A337" s="71" t="s">
        <v>322</v>
      </c>
      <c r="B337" s="72"/>
      <c r="C337" s="72"/>
      <c r="M337" s="71"/>
      <c r="N337" s="72"/>
      <c r="O337" s="72"/>
    </row>
    <row r="338" spans="1:15" ht="15" customHeight="1" x14ac:dyDescent="0.45">
      <c r="A338" s="73" t="s">
        <v>323</v>
      </c>
      <c r="B338" s="74"/>
      <c r="C338" s="74"/>
      <c r="M338" s="73"/>
      <c r="N338" s="74"/>
      <c r="O338" s="74"/>
    </row>
    <row r="339" spans="1:15" ht="15" customHeight="1" x14ac:dyDescent="0.45">
      <c r="A339" s="75" t="s">
        <v>324</v>
      </c>
      <c r="B339" s="76"/>
      <c r="C339" s="76"/>
      <c r="M339" s="75"/>
      <c r="N339" s="76"/>
      <c r="O339" s="76"/>
    </row>
    <row r="340" spans="1:15" ht="15" customHeight="1" x14ac:dyDescent="0.45">
      <c r="A340" s="75" t="s">
        <v>325</v>
      </c>
      <c r="B340" s="77"/>
      <c r="C340" s="77"/>
      <c r="M340" s="75"/>
      <c r="N340" s="77"/>
      <c r="O340" s="77"/>
    </row>
    <row r="341" spans="1:15" ht="15" customHeight="1" x14ac:dyDescent="0.45">
      <c r="A341" s="75" t="s">
        <v>326</v>
      </c>
      <c r="B341" s="76"/>
      <c r="C341" s="76"/>
      <c r="M341" s="75"/>
      <c r="N341" s="76"/>
      <c r="O341" s="76"/>
    </row>
    <row r="342" spans="1:15" ht="15" customHeight="1" x14ac:dyDescent="0.45">
      <c r="A342" s="75" t="s">
        <v>327</v>
      </c>
      <c r="B342" s="77"/>
      <c r="C342" s="77"/>
      <c r="M342" s="75"/>
      <c r="N342" s="77"/>
      <c r="O342" s="77"/>
    </row>
    <row r="343" spans="1:15" ht="15" customHeight="1" x14ac:dyDescent="0.45">
      <c r="A343" s="75" t="s">
        <v>328</v>
      </c>
      <c r="B343" s="76"/>
      <c r="C343" s="76"/>
      <c r="M343" s="75"/>
      <c r="N343" s="76"/>
      <c r="O343" s="76"/>
    </row>
    <row r="344" spans="1:15" ht="15" customHeight="1" x14ac:dyDescent="0.45">
      <c r="A344" s="75" t="s">
        <v>329</v>
      </c>
      <c r="B344" s="77"/>
      <c r="C344" s="77"/>
      <c r="M344" s="75"/>
      <c r="N344" s="77"/>
      <c r="O344" s="77"/>
    </row>
    <row r="345" spans="1:15" ht="15" customHeight="1" x14ac:dyDescent="0.45">
      <c r="A345" s="75" t="s">
        <v>330</v>
      </c>
      <c r="B345" s="76"/>
      <c r="C345" s="76"/>
      <c r="M345" s="75"/>
      <c r="N345" s="76"/>
      <c r="O345" s="76"/>
    </row>
    <row r="346" spans="1:15" ht="15" customHeight="1" x14ac:dyDescent="0.45">
      <c r="A346" s="75" t="s">
        <v>331</v>
      </c>
      <c r="B346" s="77"/>
      <c r="C346" s="77"/>
      <c r="M346" s="75"/>
      <c r="N346" s="77"/>
      <c r="O346" s="77"/>
    </row>
    <row r="347" spans="1:15" ht="15" customHeight="1" x14ac:dyDescent="0.45">
      <c r="A347" s="75" t="s">
        <v>332</v>
      </c>
      <c r="B347" s="76"/>
      <c r="C347" s="76"/>
      <c r="M347" s="75"/>
      <c r="N347" s="76"/>
      <c r="O347" s="76"/>
    </row>
    <row r="348" spans="1:15" ht="15" customHeight="1" x14ac:dyDescent="0.45">
      <c r="A348" s="75" t="s">
        <v>333</v>
      </c>
      <c r="B348" s="77"/>
      <c r="C348" s="77"/>
      <c r="M348" s="75"/>
      <c r="N348" s="77"/>
      <c r="O348" s="77"/>
    </row>
    <row r="349" spans="1:15" ht="15" customHeight="1" thickBot="1" x14ac:dyDescent="0.5"/>
    <row r="350" spans="1:15" ht="15" customHeight="1" thickBot="1" x14ac:dyDescent="0.5">
      <c r="A350" s="70" t="s">
        <v>389</v>
      </c>
      <c r="B350" s="48"/>
      <c r="C350" s="48"/>
      <c r="M350" s="70"/>
      <c r="N350" s="48"/>
      <c r="O350" s="48"/>
    </row>
    <row r="351" spans="1:15" ht="15" customHeight="1" x14ac:dyDescent="0.45">
      <c r="A351" s="71" t="s">
        <v>334</v>
      </c>
      <c r="B351" s="72"/>
      <c r="C351" s="72"/>
      <c r="M351" s="71"/>
      <c r="N351" s="72"/>
      <c r="O351" s="72"/>
    </row>
    <row r="352" spans="1:15" ht="15" customHeight="1" x14ac:dyDescent="0.45">
      <c r="A352" s="73" t="s">
        <v>335</v>
      </c>
      <c r="B352" s="74"/>
      <c r="C352" s="74"/>
      <c r="M352" s="73"/>
      <c r="N352" s="74"/>
      <c r="O352" s="74"/>
    </row>
    <row r="353" spans="1:15" ht="15" customHeight="1" x14ac:dyDescent="0.45">
      <c r="A353" s="75" t="s">
        <v>336</v>
      </c>
      <c r="B353" s="76"/>
      <c r="C353" s="76"/>
      <c r="M353" s="75"/>
      <c r="N353" s="76"/>
      <c r="O353" s="76"/>
    </row>
    <row r="354" spans="1:15" ht="15" customHeight="1" x14ac:dyDescent="0.45">
      <c r="A354" s="75" t="s">
        <v>337</v>
      </c>
      <c r="B354" s="77"/>
      <c r="C354" s="77"/>
      <c r="M354" s="75"/>
      <c r="N354" s="77"/>
      <c r="O354" s="77"/>
    </row>
    <row r="355" spans="1:15" ht="15" customHeight="1" x14ac:dyDescent="0.45">
      <c r="A355" s="75" t="s">
        <v>338</v>
      </c>
      <c r="B355" s="76"/>
      <c r="C355" s="76"/>
      <c r="M355" s="75"/>
      <c r="N355" s="76"/>
      <c r="O355" s="76"/>
    </row>
    <row r="356" spans="1:15" ht="15" customHeight="1" x14ac:dyDescent="0.45">
      <c r="A356" s="75" t="s">
        <v>339</v>
      </c>
      <c r="B356" s="77"/>
      <c r="C356" s="77"/>
      <c r="M356" s="75"/>
      <c r="N356" s="77"/>
      <c r="O356" s="77"/>
    </row>
    <row r="357" spans="1:15" ht="15" customHeight="1" x14ac:dyDescent="0.45">
      <c r="A357" s="75" t="s">
        <v>340</v>
      </c>
      <c r="B357" s="76"/>
      <c r="C357" s="76"/>
      <c r="M357" s="75"/>
      <c r="N357" s="76"/>
      <c r="O357" s="76"/>
    </row>
    <row r="358" spans="1:15" ht="15" customHeight="1" x14ac:dyDescent="0.45">
      <c r="A358" s="75" t="s">
        <v>341</v>
      </c>
      <c r="B358" s="77"/>
      <c r="C358" s="77"/>
      <c r="M358" s="75"/>
      <c r="N358" s="77"/>
      <c r="O358" s="77"/>
    </row>
    <row r="359" spans="1:15" ht="15" customHeight="1" x14ac:dyDescent="0.45">
      <c r="A359" s="75" t="s">
        <v>342</v>
      </c>
      <c r="B359" s="76"/>
      <c r="C359" s="76"/>
      <c r="M359" s="75"/>
      <c r="N359" s="76"/>
      <c r="O359" s="76"/>
    </row>
    <row r="360" spans="1:15" ht="15" customHeight="1" x14ac:dyDescent="0.45">
      <c r="A360" s="75" t="s">
        <v>343</v>
      </c>
      <c r="B360" s="77"/>
      <c r="C360" s="77"/>
      <c r="M360" s="75"/>
      <c r="N360" s="77"/>
      <c r="O360" s="77"/>
    </row>
    <row r="361" spans="1:15" ht="15" customHeight="1" thickBot="1" x14ac:dyDescent="0.5"/>
    <row r="362" spans="1:15" ht="15" customHeight="1" thickBot="1" x14ac:dyDescent="0.5">
      <c r="A362" s="70" t="s">
        <v>390</v>
      </c>
      <c r="B362" s="48"/>
      <c r="C362" s="48"/>
      <c r="M362" s="70"/>
      <c r="N362" s="48"/>
      <c r="O362" s="48"/>
    </row>
    <row r="363" spans="1:15" ht="15" customHeight="1" x14ac:dyDescent="0.45">
      <c r="A363" s="71" t="s">
        <v>344</v>
      </c>
      <c r="B363" s="72"/>
      <c r="C363" s="72"/>
      <c r="M363" s="71"/>
      <c r="N363" s="72"/>
      <c r="O363" s="72"/>
    </row>
    <row r="364" spans="1:15" ht="15" customHeight="1" x14ac:dyDescent="0.45">
      <c r="A364" s="73" t="s">
        <v>345</v>
      </c>
      <c r="B364" s="74"/>
      <c r="C364" s="74"/>
      <c r="M364" s="73"/>
      <c r="N364" s="74"/>
      <c r="O364" s="74"/>
    </row>
    <row r="365" spans="1:15" ht="15" customHeight="1" x14ac:dyDescent="0.45">
      <c r="A365" s="75" t="s">
        <v>346</v>
      </c>
      <c r="B365" s="76"/>
      <c r="C365" s="76"/>
      <c r="M365" s="75"/>
      <c r="N365" s="76"/>
      <c r="O365" s="76"/>
    </row>
    <row r="366" spans="1:15" ht="15" customHeight="1" x14ac:dyDescent="0.45">
      <c r="A366" s="75" t="s">
        <v>347</v>
      </c>
      <c r="B366" s="77"/>
      <c r="C366" s="77"/>
      <c r="M366" s="75"/>
      <c r="N366" s="77"/>
      <c r="O366" s="77"/>
    </row>
    <row r="367" spans="1:15" ht="15" customHeight="1" thickBot="1" x14ac:dyDescent="0.5"/>
    <row r="368" spans="1:15" ht="15" customHeight="1" thickBot="1" x14ac:dyDescent="0.5">
      <c r="A368" s="70" t="s">
        <v>391</v>
      </c>
      <c r="B368" s="48"/>
      <c r="C368" s="48"/>
      <c r="M368" s="70"/>
      <c r="N368" s="48"/>
      <c r="O368" s="48"/>
    </row>
    <row r="369" spans="1:15" ht="15" customHeight="1" x14ac:dyDescent="0.45">
      <c r="A369" s="71" t="s">
        <v>344</v>
      </c>
      <c r="B369" s="72"/>
      <c r="C369" s="72"/>
      <c r="M369" s="71"/>
      <c r="N369" s="72"/>
      <c r="O369" s="72"/>
    </row>
    <row r="370" spans="1:15" ht="15" customHeight="1" x14ac:dyDescent="0.45">
      <c r="A370" s="73" t="s">
        <v>345</v>
      </c>
      <c r="B370" s="74"/>
      <c r="C370" s="74"/>
      <c r="M370" s="73"/>
      <c r="N370" s="74"/>
      <c r="O370" s="74"/>
    </row>
    <row r="371" spans="1:15" ht="15" customHeight="1" x14ac:dyDescent="0.45">
      <c r="A371" s="75" t="s">
        <v>346</v>
      </c>
      <c r="B371" s="76"/>
      <c r="C371" s="76"/>
      <c r="M371" s="75"/>
      <c r="N371" s="76"/>
      <c r="O371" s="76"/>
    </row>
    <row r="372" spans="1:15" ht="15" customHeight="1" x14ac:dyDescent="0.45">
      <c r="A372" s="75" t="s">
        <v>347</v>
      </c>
      <c r="B372" s="77"/>
      <c r="C372" s="77"/>
      <c r="M372" s="75"/>
      <c r="N372" s="77"/>
      <c r="O372" s="77"/>
    </row>
    <row r="373" spans="1:15" ht="15" customHeight="1" thickBot="1" x14ac:dyDescent="0.5"/>
    <row r="374" spans="1:15" ht="15" customHeight="1" thickBot="1" x14ac:dyDescent="0.5">
      <c r="A374" s="70" t="s">
        <v>392</v>
      </c>
      <c r="B374" s="48" t="s">
        <v>16</v>
      </c>
      <c r="C374" s="48" t="s">
        <v>263</v>
      </c>
      <c r="M374" s="70"/>
      <c r="N374" s="48"/>
      <c r="O374" s="48"/>
    </row>
    <row r="375" spans="1:15" ht="15" customHeight="1" x14ac:dyDescent="0.45">
      <c r="A375" s="71" t="s">
        <v>303</v>
      </c>
      <c r="B375" s="72"/>
      <c r="C375" s="72"/>
      <c r="M375" s="71"/>
      <c r="N375" s="72"/>
      <c r="O375" s="72"/>
    </row>
    <row r="376" spans="1:15" ht="15" customHeight="1" x14ac:dyDescent="0.45">
      <c r="A376" s="73" t="s">
        <v>304</v>
      </c>
      <c r="B376" s="74"/>
      <c r="C376" s="74"/>
      <c r="M376" s="73"/>
      <c r="N376" s="74"/>
      <c r="O376" s="74"/>
    </row>
    <row r="377" spans="1:15" ht="15" customHeight="1" x14ac:dyDescent="0.45">
      <c r="A377" s="75" t="s">
        <v>305</v>
      </c>
      <c r="B377" s="76"/>
      <c r="C377" s="76"/>
      <c r="M377" s="75"/>
      <c r="N377" s="76"/>
      <c r="O377" s="76"/>
    </row>
    <row r="378" spans="1:15" ht="15" customHeight="1" x14ac:dyDescent="0.45">
      <c r="A378" s="75" t="s">
        <v>306</v>
      </c>
      <c r="B378" s="77"/>
      <c r="C378" s="77"/>
      <c r="M378" s="75"/>
      <c r="N378" s="77"/>
      <c r="O378" s="77"/>
    </row>
    <row r="379" spans="1:15" ht="15" customHeight="1" x14ac:dyDescent="0.45">
      <c r="A379" s="75" t="s">
        <v>307</v>
      </c>
      <c r="B379" s="76"/>
      <c r="C379" s="76"/>
      <c r="M379" s="75"/>
      <c r="N379" s="76"/>
      <c r="O379" s="76"/>
    </row>
    <row r="380" spans="1:15" ht="15" customHeight="1" x14ac:dyDescent="0.45">
      <c r="A380" s="75" t="s">
        <v>308</v>
      </c>
      <c r="B380" s="77"/>
      <c r="C380" s="77"/>
      <c r="M380" s="75"/>
      <c r="N380" s="77"/>
      <c r="O380" s="77"/>
    </row>
    <row r="381" spans="1:15" ht="15" customHeight="1" x14ac:dyDescent="0.45">
      <c r="A381" s="75" t="s">
        <v>309</v>
      </c>
      <c r="B381" s="76"/>
      <c r="C381" s="76"/>
      <c r="M381" s="75"/>
      <c r="N381" s="76"/>
      <c r="O381" s="76"/>
    </row>
    <row r="382" spans="1:15" ht="15" customHeight="1" x14ac:dyDescent="0.45">
      <c r="A382" s="75" t="s">
        <v>310</v>
      </c>
      <c r="B382" s="77"/>
      <c r="C382" s="77"/>
      <c r="M382" s="75"/>
      <c r="N382" s="77"/>
      <c r="O382" s="77"/>
    </row>
    <row r="383" spans="1:15" ht="15" customHeight="1" x14ac:dyDescent="0.45">
      <c r="A383" s="75" t="s">
        <v>311</v>
      </c>
      <c r="B383" s="76"/>
      <c r="C383" s="76"/>
      <c r="M383" s="75"/>
      <c r="N383" s="76"/>
      <c r="O383" s="76"/>
    </row>
    <row r="384" spans="1:15" ht="15" customHeight="1" x14ac:dyDescent="0.45">
      <c r="A384" s="75" t="s">
        <v>312</v>
      </c>
      <c r="B384" s="77"/>
      <c r="C384" s="77"/>
      <c r="M384" s="75"/>
      <c r="N384" s="77"/>
      <c r="O384" s="77"/>
    </row>
    <row r="385" spans="1:18" ht="15" customHeight="1" x14ac:dyDescent="0.45">
      <c r="A385" s="75" t="s">
        <v>313</v>
      </c>
      <c r="B385" s="76"/>
      <c r="C385" s="76"/>
      <c r="M385" s="75"/>
      <c r="N385" s="76"/>
      <c r="O385" s="76"/>
    </row>
    <row r="386" spans="1:18" ht="15" customHeight="1" x14ac:dyDescent="0.45">
      <c r="A386" s="75" t="s">
        <v>314</v>
      </c>
      <c r="B386" s="77"/>
      <c r="C386" s="77"/>
      <c r="M386" s="75"/>
      <c r="N386" s="77"/>
      <c r="O386" s="77"/>
    </row>
    <row r="387" spans="1:18" ht="15" customHeight="1" x14ac:dyDescent="0.45">
      <c r="A387" s="75" t="s">
        <v>315</v>
      </c>
      <c r="B387" s="76"/>
      <c r="C387" s="76"/>
      <c r="M387" s="75"/>
      <c r="N387" s="76"/>
      <c r="O387" s="76"/>
    </row>
    <row r="388" spans="1:18" ht="15" customHeight="1" x14ac:dyDescent="0.45">
      <c r="A388" s="75" t="s">
        <v>316</v>
      </c>
      <c r="B388" s="77"/>
      <c r="C388" s="77"/>
      <c r="M388" s="75"/>
      <c r="N388" s="77"/>
      <c r="O388" s="77"/>
    </row>
    <row r="389" spans="1:18" ht="15" customHeight="1" x14ac:dyDescent="0.45">
      <c r="A389" s="75" t="s">
        <v>317</v>
      </c>
      <c r="B389" s="76"/>
      <c r="C389" s="76"/>
      <c r="M389" s="75"/>
      <c r="N389" s="76"/>
      <c r="O389" s="76"/>
    </row>
    <row r="390" spans="1:18" ht="15" customHeight="1" x14ac:dyDescent="0.45">
      <c r="A390" s="75" t="s">
        <v>318</v>
      </c>
      <c r="B390" s="77"/>
      <c r="C390" s="77"/>
      <c r="M390" s="75"/>
      <c r="N390" s="77"/>
      <c r="O390" s="77"/>
    </row>
    <row r="391" spans="1:18" ht="15" customHeight="1" x14ac:dyDescent="0.45">
      <c r="A391" s="75" t="s">
        <v>319</v>
      </c>
      <c r="B391" s="76"/>
      <c r="C391" s="76"/>
      <c r="M391" s="75"/>
      <c r="N391" s="76"/>
      <c r="O391" s="76"/>
    </row>
    <row r="392" spans="1:18" ht="15" customHeight="1" x14ac:dyDescent="0.45">
      <c r="A392" s="75" t="s">
        <v>320</v>
      </c>
      <c r="B392" s="77"/>
      <c r="C392" s="77"/>
      <c r="M392" s="75"/>
      <c r="N392" s="77"/>
      <c r="O392" s="77"/>
    </row>
    <row r="393" spans="1:18" ht="15" customHeight="1" x14ac:dyDescent="0.45">
      <c r="A393" s="75" t="s">
        <v>321</v>
      </c>
      <c r="B393" s="76"/>
      <c r="C393" s="76"/>
      <c r="M393" s="75"/>
      <c r="N393" s="76"/>
      <c r="O393" s="76"/>
    </row>
    <row r="396" spans="1:18" ht="15" customHeight="1" x14ac:dyDescent="0.45">
      <c r="A396" s="29" t="s">
        <v>348</v>
      </c>
      <c r="M396" s="29"/>
    </row>
    <row r="398" spans="1:18" ht="15" customHeight="1" x14ac:dyDescent="1">
      <c r="M398" s="162"/>
      <c r="N398" s="162"/>
    </row>
    <row r="399" spans="1:18" ht="15" customHeight="1" x14ac:dyDescent="1">
      <c r="M399" s="163"/>
      <c r="N399" s="163"/>
      <c r="O399" s="163"/>
      <c r="P399" s="163"/>
      <c r="Q399" s="163"/>
      <c r="R399" s="163"/>
    </row>
    <row r="400" spans="1:18" ht="15" customHeight="1" x14ac:dyDescent="1">
      <c r="M400" s="164"/>
      <c r="N400" s="164"/>
      <c r="O400" s="164"/>
      <c r="P400" s="164"/>
      <c r="Q400" s="164"/>
      <c r="R400" s="164"/>
    </row>
    <row r="401" spans="13:18" ht="15" customHeight="1" x14ac:dyDescent="1">
      <c r="M401" s="164"/>
      <c r="N401" s="164"/>
      <c r="O401" s="164"/>
      <c r="P401" s="164"/>
      <c r="Q401" s="164"/>
      <c r="R401" s="164"/>
    </row>
    <row r="402" spans="13:18" ht="15" customHeight="1" x14ac:dyDescent="1">
      <c r="M402" s="164"/>
      <c r="N402" s="164"/>
      <c r="O402" s="164"/>
      <c r="P402" s="164"/>
      <c r="Q402" s="164"/>
      <c r="R402" s="164"/>
    </row>
    <row r="403" spans="13:18" ht="15" customHeight="1" x14ac:dyDescent="1">
      <c r="M403" s="164"/>
      <c r="N403" s="164"/>
      <c r="O403" s="164"/>
      <c r="P403" s="164"/>
      <c r="Q403" s="164"/>
      <c r="R403" s="164"/>
    </row>
    <row r="404" spans="13:18" ht="15" customHeight="1" x14ac:dyDescent="1">
      <c r="M404" s="164"/>
      <c r="N404" s="164"/>
      <c r="O404" s="164"/>
      <c r="P404" s="164"/>
      <c r="Q404" s="164"/>
      <c r="R404" s="164"/>
    </row>
    <row r="406" spans="13:18" ht="15" customHeight="1" x14ac:dyDescent="1">
      <c r="M406" s="162"/>
      <c r="N406" s="162"/>
    </row>
    <row r="407" spans="13:18" ht="15" customHeight="1" x14ac:dyDescent="1">
      <c r="M407" s="163"/>
      <c r="N407" s="163"/>
      <c r="O407" s="163"/>
      <c r="P407" s="163"/>
      <c r="Q407" s="163"/>
      <c r="R407" s="163"/>
    </row>
    <row r="408" spans="13:18" ht="15" customHeight="1" x14ac:dyDescent="1">
      <c r="M408" s="164"/>
      <c r="N408" s="164"/>
      <c r="O408" s="164"/>
      <c r="P408" s="164"/>
      <c r="Q408" s="164"/>
      <c r="R408" s="164"/>
    </row>
    <row r="409" spans="13:18" ht="15" customHeight="1" x14ac:dyDescent="1">
      <c r="M409" s="164"/>
      <c r="N409" s="164"/>
      <c r="O409" s="164"/>
      <c r="P409" s="164"/>
      <c r="Q409" s="164"/>
      <c r="R409" s="164"/>
    </row>
    <row r="410" spans="13:18" ht="15" customHeight="1" x14ac:dyDescent="1">
      <c r="M410" s="164"/>
      <c r="N410" s="164"/>
      <c r="O410" s="164"/>
      <c r="P410" s="164"/>
      <c r="Q410" s="164"/>
      <c r="R410" s="164"/>
    </row>
    <row r="411" spans="13:18" ht="15" customHeight="1" x14ac:dyDescent="1">
      <c r="M411" s="164"/>
      <c r="N411" s="164"/>
      <c r="O411" s="164"/>
      <c r="P411" s="164"/>
      <c r="Q411" s="164"/>
      <c r="R411" s="164"/>
    </row>
    <row r="412" spans="13:18" ht="15" customHeight="1" x14ac:dyDescent="1">
      <c r="M412" s="164"/>
      <c r="N412" s="164"/>
      <c r="O412" s="164"/>
      <c r="P412" s="164"/>
      <c r="Q412" s="164"/>
      <c r="R412" s="164"/>
    </row>
    <row r="414" spans="13:18" ht="15" customHeight="1" x14ac:dyDescent="1">
      <c r="M414" s="162"/>
      <c r="N414" s="162"/>
    </row>
    <row r="415" spans="13:18" ht="15" customHeight="1" x14ac:dyDescent="1">
      <c r="M415" s="163"/>
      <c r="N415" s="163"/>
      <c r="O415" s="163"/>
      <c r="P415" s="163"/>
      <c r="Q415" s="163"/>
      <c r="R415" s="163"/>
    </row>
    <row r="416" spans="13:18" ht="15" customHeight="1" x14ac:dyDescent="1">
      <c r="M416" s="164"/>
      <c r="N416" s="164"/>
      <c r="O416" s="164"/>
      <c r="P416" s="164"/>
      <c r="Q416" s="164"/>
      <c r="R416" s="164"/>
    </row>
    <row r="417" spans="13:18" ht="15" customHeight="1" x14ac:dyDescent="1">
      <c r="M417" s="164"/>
      <c r="N417" s="164"/>
      <c r="O417" s="164"/>
      <c r="P417" s="164"/>
      <c r="Q417" s="164"/>
      <c r="R417" s="164"/>
    </row>
    <row r="418" spans="13:18" ht="15" customHeight="1" x14ac:dyDescent="1">
      <c r="M418" s="164"/>
      <c r="N418" s="164"/>
      <c r="O418" s="164"/>
      <c r="P418" s="164"/>
      <c r="Q418" s="164"/>
      <c r="R418" s="164"/>
    </row>
    <row r="419" spans="13:18" ht="15" customHeight="1" x14ac:dyDescent="1">
      <c r="M419" s="164"/>
      <c r="N419" s="164"/>
      <c r="O419" s="164"/>
      <c r="P419" s="164"/>
      <c r="Q419" s="164"/>
      <c r="R419" s="164"/>
    </row>
    <row r="420" spans="13:18" ht="15" customHeight="1" x14ac:dyDescent="1">
      <c r="M420" s="164"/>
      <c r="N420" s="164"/>
      <c r="O420" s="164"/>
      <c r="P420" s="164"/>
      <c r="Q420" s="164"/>
      <c r="R420" s="164"/>
    </row>
    <row r="421" spans="13:18" ht="15" customHeight="1" x14ac:dyDescent="1">
      <c r="M421" s="164"/>
      <c r="N421" s="164"/>
      <c r="O421" s="164"/>
      <c r="P421" s="164"/>
      <c r="Q421" s="164"/>
      <c r="R421" s="164"/>
    </row>
    <row r="422" spans="13:18" ht="15" customHeight="1" x14ac:dyDescent="1">
      <c r="M422" s="164"/>
      <c r="N422" s="164"/>
      <c r="O422" s="164"/>
      <c r="P422" s="164"/>
      <c r="Q422" s="164"/>
      <c r="R422" s="164"/>
    </row>
    <row r="423" spans="13:18" ht="15" customHeight="1" x14ac:dyDescent="1">
      <c r="M423" s="164"/>
      <c r="N423" s="164"/>
      <c r="O423" s="164"/>
      <c r="P423" s="164"/>
      <c r="Q423" s="164"/>
      <c r="R423" s="164"/>
    </row>
    <row r="424" spans="13:18" ht="15" customHeight="1" x14ac:dyDescent="1">
      <c r="M424" s="164"/>
      <c r="N424" s="164"/>
      <c r="O424" s="164"/>
      <c r="P424" s="164"/>
      <c r="Q424" s="164"/>
      <c r="R424" s="164"/>
    </row>
    <row r="425" spans="13:18" ht="15" customHeight="1" x14ac:dyDescent="1">
      <c r="M425" s="164"/>
      <c r="N425" s="164"/>
      <c r="O425" s="164"/>
      <c r="P425" s="164"/>
      <c r="Q425" s="164"/>
      <c r="R425" s="164"/>
    </row>
    <row r="426" spans="13:18" ht="15" customHeight="1" x14ac:dyDescent="1">
      <c r="M426" s="164"/>
      <c r="N426" s="164"/>
      <c r="O426" s="164"/>
      <c r="P426" s="164"/>
      <c r="Q426" s="164"/>
      <c r="R426" s="164"/>
    </row>
    <row r="427" spans="13:18" ht="15" customHeight="1" x14ac:dyDescent="1">
      <c r="M427" s="164"/>
      <c r="N427" s="164"/>
      <c r="O427" s="164"/>
      <c r="P427" s="164"/>
      <c r="Q427" s="164"/>
      <c r="R427" s="164"/>
    </row>
    <row r="428" spans="13:18" ht="15" customHeight="1" x14ac:dyDescent="1">
      <c r="M428" s="164"/>
      <c r="N428" s="164"/>
      <c r="O428" s="164"/>
      <c r="P428" s="164"/>
      <c r="Q428" s="164"/>
      <c r="R428" s="164"/>
    </row>
    <row r="429" spans="13:18" ht="15" customHeight="1" x14ac:dyDescent="1">
      <c r="M429" s="164"/>
      <c r="N429" s="164"/>
      <c r="O429" s="164"/>
      <c r="P429" s="164"/>
      <c r="Q429" s="164"/>
      <c r="R429" s="164"/>
    </row>
    <row r="430" spans="13:18" ht="15" customHeight="1" x14ac:dyDescent="1">
      <c r="M430" s="164"/>
      <c r="N430" s="164"/>
      <c r="O430" s="164"/>
      <c r="P430" s="164"/>
      <c r="Q430" s="164"/>
      <c r="R430" s="164"/>
    </row>
    <row r="431" spans="13:18" ht="15" customHeight="1" x14ac:dyDescent="1">
      <c r="M431" s="164"/>
      <c r="N431" s="164"/>
      <c r="O431" s="164"/>
      <c r="P431" s="164"/>
      <c r="Q431" s="164"/>
      <c r="R431" s="164"/>
    </row>
    <row r="432" spans="13:18" ht="15" customHeight="1" x14ac:dyDescent="1">
      <c r="M432" s="164"/>
      <c r="N432" s="164"/>
      <c r="O432" s="164"/>
      <c r="P432" s="164"/>
      <c r="Q432" s="164"/>
      <c r="R432" s="164"/>
    </row>
    <row r="433" spans="13:18" ht="15" customHeight="1" x14ac:dyDescent="1">
      <c r="M433" s="164"/>
      <c r="N433" s="164"/>
      <c r="O433" s="164"/>
      <c r="P433" s="164"/>
      <c r="Q433" s="164"/>
      <c r="R433" s="164"/>
    </row>
    <row r="434" spans="13:18" ht="15" customHeight="1" x14ac:dyDescent="1">
      <c r="M434" s="164"/>
      <c r="N434" s="164"/>
      <c r="O434" s="164"/>
      <c r="P434" s="164"/>
      <c r="Q434" s="164"/>
      <c r="R434" s="164"/>
    </row>
    <row r="435" spans="13:18" ht="15" customHeight="1" x14ac:dyDescent="1">
      <c r="M435" s="164"/>
      <c r="N435" s="164"/>
      <c r="O435" s="164"/>
      <c r="P435" s="164"/>
      <c r="Q435" s="164"/>
      <c r="R435" s="164"/>
    </row>
    <row r="436" spans="13:18" ht="15" customHeight="1" x14ac:dyDescent="1">
      <c r="M436" s="164"/>
      <c r="N436" s="164"/>
      <c r="O436" s="164"/>
      <c r="P436" s="164"/>
      <c r="Q436" s="164"/>
      <c r="R436" s="164"/>
    </row>
    <row r="437" spans="13:18" ht="15" customHeight="1" x14ac:dyDescent="1">
      <c r="M437" s="164"/>
      <c r="N437" s="164"/>
      <c r="O437" s="164"/>
      <c r="P437" s="164"/>
      <c r="Q437" s="164"/>
      <c r="R437" s="164"/>
    </row>
    <row r="438" spans="13:18" ht="15" customHeight="1" x14ac:dyDescent="1">
      <c r="M438" s="164"/>
      <c r="N438" s="164"/>
      <c r="O438" s="164"/>
      <c r="P438" s="164"/>
      <c r="Q438" s="164"/>
      <c r="R438" s="164"/>
    </row>
    <row r="439" spans="13:18" ht="15" customHeight="1" x14ac:dyDescent="1">
      <c r="M439" s="164"/>
      <c r="N439" s="164"/>
      <c r="O439" s="164"/>
      <c r="P439" s="164"/>
      <c r="Q439" s="164"/>
      <c r="R439" s="164"/>
    </row>
    <row r="440" spans="13:18" ht="15" customHeight="1" x14ac:dyDescent="1">
      <c r="M440" s="164"/>
      <c r="N440" s="164"/>
      <c r="O440" s="164"/>
      <c r="P440" s="164"/>
      <c r="Q440" s="164"/>
      <c r="R440" s="164"/>
    </row>
    <row r="441" spans="13:18" ht="15" customHeight="1" x14ac:dyDescent="1">
      <c r="M441" s="164"/>
      <c r="N441" s="164"/>
      <c r="O441" s="164"/>
      <c r="P441" s="164"/>
      <c r="Q441" s="164"/>
      <c r="R441" s="164"/>
    </row>
    <row r="442" spans="13:18" ht="15" customHeight="1" x14ac:dyDescent="1">
      <c r="M442" s="164"/>
      <c r="N442" s="164"/>
      <c r="O442" s="164"/>
      <c r="P442" s="164"/>
      <c r="Q442" s="164"/>
      <c r="R442" s="164"/>
    </row>
    <row r="443" spans="13:18" ht="15" customHeight="1" x14ac:dyDescent="1">
      <c r="M443" s="164"/>
      <c r="N443" s="164"/>
      <c r="O443" s="164"/>
      <c r="P443" s="164"/>
      <c r="Q443" s="164"/>
      <c r="R443" s="164"/>
    </row>
    <row r="444" spans="13:18" ht="15" customHeight="1" x14ac:dyDescent="1">
      <c r="M444" s="164"/>
      <c r="N444" s="164"/>
      <c r="O444" s="164"/>
      <c r="P444" s="164"/>
      <c r="Q444" s="164"/>
      <c r="R444" s="164"/>
    </row>
    <row r="445" spans="13:18" ht="15" customHeight="1" x14ac:dyDescent="1">
      <c r="M445" s="164"/>
      <c r="N445" s="164"/>
      <c r="O445" s="164"/>
      <c r="P445" s="164"/>
      <c r="Q445" s="164"/>
      <c r="R445" s="164"/>
    </row>
    <row r="446" spans="13:18" ht="15" customHeight="1" x14ac:dyDescent="1">
      <c r="M446" s="164"/>
      <c r="N446" s="164"/>
      <c r="O446" s="164"/>
      <c r="P446" s="164"/>
      <c r="Q446" s="164"/>
      <c r="R446" s="164"/>
    </row>
    <row r="447" spans="13:18" ht="15" customHeight="1" x14ac:dyDescent="1">
      <c r="M447" s="164"/>
      <c r="N447" s="164"/>
      <c r="O447" s="164"/>
      <c r="P447" s="164"/>
      <c r="Q447" s="164"/>
      <c r="R447" s="164"/>
    </row>
    <row r="448" spans="13:18" ht="15" customHeight="1" x14ac:dyDescent="1">
      <c r="M448" s="164"/>
      <c r="N448" s="164"/>
      <c r="O448" s="164"/>
      <c r="P448" s="164"/>
      <c r="Q448" s="164"/>
      <c r="R448" s="164"/>
    </row>
    <row r="449" spans="13:18" ht="15" customHeight="1" x14ac:dyDescent="1">
      <c r="M449" s="164"/>
      <c r="N449" s="164"/>
      <c r="O449" s="164"/>
      <c r="P449" s="164"/>
      <c r="Q449" s="164"/>
      <c r="R449" s="164"/>
    </row>
    <row r="450" spans="13:18" ht="15" customHeight="1" x14ac:dyDescent="1">
      <c r="M450" s="164"/>
      <c r="N450" s="164"/>
      <c r="O450" s="164"/>
      <c r="P450" s="164"/>
      <c r="Q450" s="164"/>
      <c r="R450" s="164"/>
    </row>
    <row r="451" spans="13:18" ht="15" customHeight="1" x14ac:dyDescent="1">
      <c r="M451" s="164"/>
      <c r="N451" s="164"/>
      <c r="O451" s="164"/>
      <c r="P451" s="164"/>
      <c r="Q451" s="164"/>
      <c r="R451" s="164"/>
    </row>
    <row r="452" spans="13:18" ht="15" customHeight="1" x14ac:dyDescent="1">
      <c r="M452" s="164"/>
      <c r="N452" s="164"/>
      <c r="O452" s="164"/>
      <c r="P452" s="164"/>
      <c r="Q452" s="164"/>
      <c r="R452" s="164"/>
    </row>
    <row r="453" spans="13:18" ht="15" customHeight="1" x14ac:dyDescent="1">
      <c r="M453" s="164"/>
      <c r="N453" s="164"/>
      <c r="O453" s="164"/>
      <c r="P453" s="164"/>
      <c r="Q453" s="164"/>
      <c r="R453" s="164"/>
    </row>
    <row r="454" spans="13:18" ht="15" customHeight="1" x14ac:dyDescent="1">
      <c r="M454" s="164"/>
      <c r="N454" s="164"/>
      <c r="O454" s="164"/>
      <c r="P454" s="164"/>
      <c r="Q454" s="164"/>
      <c r="R454" s="164"/>
    </row>
    <row r="455" spans="13:18" ht="15" customHeight="1" x14ac:dyDescent="1">
      <c r="M455" s="164"/>
      <c r="N455" s="164"/>
      <c r="O455" s="164"/>
      <c r="P455" s="164"/>
      <c r="Q455" s="164"/>
      <c r="R455" s="164"/>
    </row>
    <row r="456" spans="13:18" ht="15" customHeight="1" x14ac:dyDescent="1">
      <c r="M456" s="164"/>
      <c r="N456" s="164"/>
      <c r="O456" s="164"/>
      <c r="P456" s="164"/>
      <c r="Q456" s="164"/>
      <c r="R456" s="164"/>
    </row>
    <row r="457" spans="13:18" ht="15" customHeight="1" x14ac:dyDescent="1">
      <c r="M457" s="164"/>
      <c r="N457" s="164"/>
      <c r="O457" s="164"/>
      <c r="P457" s="164"/>
      <c r="Q457" s="164"/>
      <c r="R457" s="164"/>
    </row>
    <row r="458" spans="13:18" ht="15" customHeight="1" x14ac:dyDescent="1">
      <c r="M458" s="164"/>
      <c r="N458" s="164"/>
      <c r="O458" s="164"/>
      <c r="P458" s="164"/>
      <c r="Q458" s="164"/>
      <c r="R458" s="164"/>
    </row>
    <row r="459" spans="13:18" ht="15" customHeight="1" x14ac:dyDescent="1">
      <c r="M459" s="164"/>
      <c r="N459" s="164"/>
      <c r="O459" s="164"/>
      <c r="P459" s="164"/>
      <c r="Q459" s="164"/>
      <c r="R459" s="164"/>
    </row>
    <row r="460" spans="13:18" ht="15" customHeight="1" x14ac:dyDescent="1">
      <c r="M460" s="164"/>
      <c r="N460" s="164"/>
      <c r="O460" s="164"/>
      <c r="P460" s="164"/>
      <c r="Q460" s="164"/>
      <c r="R460" s="164"/>
    </row>
    <row r="461" spans="13:18" ht="15" customHeight="1" x14ac:dyDescent="1">
      <c r="M461" s="164"/>
      <c r="N461" s="164"/>
      <c r="O461" s="164"/>
      <c r="P461" s="164"/>
      <c r="Q461" s="164"/>
      <c r="R461" s="164"/>
    </row>
    <row r="462" spans="13:18" ht="15" customHeight="1" x14ac:dyDescent="1">
      <c r="M462" s="164"/>
      <c r="N462" s="164"/>
      <c r="O462" s="164"/>
      <c r="P462" s="164"/>
      <c r="Q462" s="164"/>
      <c r="R462" s="164"/>
    </row>
    <row r="464" spans="13:18" ht="15" customHeight="1" x14ac:dyDescent="1">
      <c r="M464" s="162"/>
      <c r="N464" s="162"/>
    </row>
    <row r="465" spans="13:18" ht="15" customHeight="1" x14ac:dyDescent="1">
      <c r="M465" s="163"/>
      <c r="N465" s="163"/>
      <c r="O465" s="163"/>
      <c r="P465" s="163"/>
      <c r="Q465" s="163"/>
      <c r="R465" s="163"/>
    </row>
    <row r="466" spans="13:18" ht="15" customHeight="1" x14ac:dyDescent="1">
      <c r="M466" s="164"/>
      <c r="N466" s="164"/>
      <c r="O466" s="164"/>
      <c r="P466" s="164"/>
      <c r="Q466" s="164"/>
      <c r="R466" s="164"/>
    </row>
    <row r="467" spans="13:18" ht="15" customHeight="1" x14ac:dyDescent="1">
      <c r="M467" s="164"/>
      <c r="N467" s="164"/>
      <c r="O467" s="164"/>
      <c r="P467" s="164"/>
      <c r="Q467" s="164"/>
      <c r="R467" s="164"/>
    </row>
    <row r="468" spans="13:18" ht="15" customHeight="1" x14ac:dyDescent="1">
      <c r="M468" s="164"/>
      <c r="N468" s="164"/>
      <c r="O468" s="164"/>
      <c r="P468" s="164"/>
      <c r="Q468" s="164"/>
      <c r="R468" s="164"/>
    </row>
    <row r="469" spans="13:18" ht="15" customHeight="1" x14ac:dyDescent="1">
      <c r="M469" s="164"/>
      <c r="N469" s="164"/>
      <c r="O469" s="164"/>
      <c r="P469" s="164"/>
      <c r="Q469" s="164"/>
      <c r="R469" s="164"/>
    </row>
    <row r="470" spans="13:18" ht="15" customHeight="1" x14ac:dyDescent="1">
      <c r="M470" s="164"/>
      <c r="N470" s="164"/>
      <c r="O470" s="164"/>
      <c r="P470" s="164"/>
      <c r="Q470" s="164"/>
      <c r="R470" s="164"/>
    </row>
    <row r="471" spans="13:18" ht="15" customHeight="1" x14ac:dyDescent="1">
      <c r="M471" s="164"/>
      <c r="N471" s="164"/>
      <c r="O471" s="164"/>
      <c r="P471" s="164"/>
      <c r="Q471" s="164"/>
      <c r="R471" s="164"/>
    </row>
    <row r="472" spans="13:18" ht="15" customHeight="1" x14ac:dyDescent="1">
      <c r="M472" s="164"/>
      <c r="N472" s="164"/>
      <c r="O472" s="164"/>
      <c r="P472" s="164"/>
      <c r="Q472" s="164"/>
      <c r="R472" s="164"/>
    </row>
    <row r="473" spans="13:18" ht="15" customHeight="1" x14ac:dyDescent="1">
      <c r="M473" s="164"/>
      <c r="N473" s="164"/>
      <c r="O473" s="164"/>
      <c r="P473" s="164"/>
      <c r="Q473" s="164"/>
      <c r="R473" s="164"/>
    </row>
    <row r="474" spans="13:18" ht="15" customHeight="1" x14ac:dyDescent="1">
      <c r="M474" s="164"/>
      <c r="N474" s="164"/>
      <c r="O474" s="164"/>
      <c r="P474" s="164"/>
      <c r="Q474" s="164"/>
      <c r="R474" s="164"/>
    </row>
    <row r="475" spans="13:18" ht="15" customHeight="1" x14ac:dyDescent="1">
      <c r="M475" s="164"/>
      <c r="N475" s="164"/>
      <c r="O475" s="164"/>
      <c r="P475" s="164"/>
      <c r="Q475" s="164"/>
      <c r="R475" s="164"/>
    </row>
    <row r="476" spans="13:18" ht="15" customHeight="1" x14ac:dyDescent="1">
      <c r="M476" s="164"/>
      <c r="N476" s="164"/>
      <c r="O476" s="164"/>
      <c r="P476" s="164"/>
      <c r="Q476" s="164"/>
      <c r="R476" s="164"/>
    </row>
    <row r="477" spans="13:18" ht="15" customHeight="1" x14ac:dyDescent="1">
      <c r="M477" s="164"/>
      <c r="N477" s="164"/>
      <c r="O477" s="164"/>
      <c r="P477" s="164"/>
      <c r="Q477" s="164"/>
      <c r="R477" s="164"/>
    </row>
    <row r="478" spans="13:18" ht="15" customHeight="1" x14ac:dyDescent="1">
      <c r="M478" s="164"/>
      <c r="N478" s="164"/>
      <c r="O478" s="164"/>
      <c r="P478" s="164"/>
      <c r="Q478" s="164"/>
      <c r="R478" s="164"/>
    </row>
    <row r="479" spans="13:18" ht="15" customHeight="1" x14ac:dyDescent="1">
      <c r="M479" s="164"/>
      <c r="N479" s="164"/>
      <c r="O479" s="164"/>
      <c r="P479" s="164"/>
      <c r="Q479" s="164"/>
      <c r="R479" s="164"/>
    </row>
    <row r="480" spans="13:18" ht="15" customHeight="1" x14ac:dyDescent="1">
      <c r="M480" s="164"/>
      <c r="N480" s="164"/>
      <c r="O480" s="164"/>
      <c r="P480" s="164"/>
      <c r="Q480" s="164"/>
      <c r="R480" s="164"/>
    </row>
    <row r="481" spans="13:18" ht="15" customHeight="1" x14ac:dyDescent="1">
      <c r="M481" s="164"/>
      <c r="N481" s="164"/>
      <c r="O481" s="164"/>
      <c r="P481" s="164"/>
      <c r="Q481" s="164"/>
      <c r="R481" s="164"/>
    </row>
    <row r="482" spans="13:18" ht="15" customHeight="1" x14ac:dyDescent="1">
      <c r="M482" s="164"/>
      <c r="N482" s="164"/>
      <c r="O482" s="164"/>
      <c r="P482" s="164"/>
      <c r="Q482" s="164"/>
      <c r="R482" s="164"/>
    </row>
    <row r="483" spans="13:18" ht="15" customHeight="1" x14ac:dyDescent="1">
      <c r="M483" s="164"/>
      <c r="N483" s="164"/>
      <c r="O483" s="164"/>
      <c r="P483" s="164"/>
      <c r="Q483" s="164"/>
      <c r="R483" s="164"/>
    </row>
    <row r="484" spans="13:18" ht="15" customHeight="1" x14ac:dyDescent="1">
      <c r="M484" s="164"/>
      <c r="N484" s="164"/>
      <c r="O484" s="164"/>
      <c r="P484" s="164"/>
      <c r="Q484" s="164"/>
      <c r="R484" s="164"/>
    </row>
    <row r="485" spans="13:18" ht="15" customHeight="1" x14ac:dyDescent="1">
      <c r="M485" s="164"/>
      <c r="N485" s="164"/>
      <c r="O485" s="164"/>
      <c r="P485" s="164"/>
      <c r="Q485" s="164"/>
      <c r="R485" s="164"/>
    </row>
    <row r="486" spans="13:18" ht="15" customHeight="1" x14ac:dyDescent="1">
      <c r="M486" s="164"/>
      <c r="N486" s="164"/>
      <c r="O486" s="164"/>
      <c r="P486" s="164"/>
      <c r="Q486" s="164"/>
      <c r="R486" s="164"/>
    </row>
    <row r="487" spans="13:18" ht="15" customHeight="1" x14ac:dyDescent="1">
      <c r="M487" s="164"/>
      <c r="N487" s="164"/>
      <c r="O487" s="164"/>
      <c r="P487" s="164"/>
      <c r="Q487" s="164"/>
      <c r="R487" s="164"/>
    </row>
    <row r="488" spans="13:18" ht="15" customHeight="1" x14ac:dyDescent="1">
      <c r="M488" s="164"/>
      <c r="N488" s="164"/>
      <c r="O488" s="164"/>
      <c r="P488" s="164"/>
      <c r="Q488" s="164"/>
      <c r="R488" s="164"/>
    </row>
    <row r="489" spans="13:18" ht="15" customHeight="1" x14ac:dyDescent="1">
      <c r="M489" s="164"/>
      <c r="N489" s="164"/>
      <c r="O489" s="164"/>
      <c r="P489" s="164"/>
      <c r="Q489" s="164"/>
      <c r="R489" s="164"/>
    </row>
    <row r="490" spans="13:18" ht="15" customHeight="1" x14ac:dyDescent="1">
      <c r="M490" s="164"/>
      <c r="N490" s="164"/>
      <c r="O490" s="164"/>
      <c r="P490" s="164"/>
      <c r="Q490" s="164"/>
      <c r="R490" s="164"/>
    </row>
    <row r="491" spans="13:18" ht="15" customHeight="1" x14ac:dyDescent="1">
      <c r="M491" s="164"/>
      <c r="N491" s="164"/>
      <c r="O491" s="164"/>
      <c r="P491" s="164"/>
      <c r="Q491" s="164"/>
      <c r="R491" s="164"/>
    </row>
    <row r="492" spans="13:18" ht="15" customHeight="1" x14ac:dyDescent="1">
      <c r="M492" s="164"/>
      <c r="N492" s="164"/>
      <c r="O492" s="164"/>
      <c r="P492" s="164"/>
      <c r="Q492" s="164"/>
      <c r="R492" s="164"/>
    </row>
    <row r="493" spans="13:18" ht="15" customHeight="1" x14ac:dyDescent="1">
      <c r="M493" s="164"/>
      <c r="N493" s="164"/>
      <c r="O493" s="164"/>
      <c r="P493" s="164"/>
      <c r="Q493" s="164"/>
      <c r="R493" s="164"/>
    </row>
    <row r="494" spans="13:18" ht="15" customHeight="1" x14ac:dyDescent="1">
      <c r="M494" s="164"/>
      <c r="N494" s="164"/>
      <c r="O494" s="164"/>
      <c r="P494" s="164"/>
      <c r="Q494" s="164"/>
      <c r="R494" s="164"/>
    </row>
    <row r="495" spans="13:18" ht="15" customHeight="1" x14ac:dyDescent="1">
      <c r="M495" s="164"/>
      <c r="N495" s="164"/>
      <c r="O495" s="164"/>
      <c r="P495" s="164"/>
      <c r="Q495" s="164"/>
      <c r="R495" s="164"/>
    </row>
    <row r="496" spans="13:18" ht="15" customHeight="1" x14ac:dyDescent="1">
      <c r="M496" s="164"/>
      <c r="N496" s="164"/>
      <c r="O496" s="164"/>
      <c r="P496" s="164"/>
      <c r="Q496" s="164"/>
      <c r="R496" s="164"/>
    </row>
    <row r="497" spans="13:18" ht="15" customHeight="1" x14ac:dyDescent="1">
      <c r="M497" s="164"/>
      <c r="N497" s="164"/>
      <c r="O497" s="164"/>
      <c r="P497" s="164"/>
      <c r="Q497" s="164"/>
      <c r="R497" s="164"/>
    </row>
    <row r="498" spans="13:18" ht="15" customHeight="1" x14ac:dyDescent="1">
      <c r="M498" s="164"/>
      <c r="N498" s="164"/>
      <c r="O498" s="164"/>
      <c r="P498" s="164"/>
      <c r="Q498" s="164"/>
      <c r="R498" s="164"/>
    </row>
    <row r="499" spans="13:18" ht="15" customHeight="1" x14ac:dyDescent="1">
      <c r="M499" s="164"/>
      <c r="N499" s="164"/>
      <c r="O499" s="164"/>
      <c r="P499" s="164"/>
      <c r="Q499" s="164"/>
      <c r="R499" s="164"/>
    </row>
    <row r="500" spans="13:18" ht="15" customHeight="1" x14ac:dyDescent="1">
      <c r="M500" s="164"/>
      <c r="N500" s="164"/>
      <c r="O500" s="164"/>
      <c r="P500" s="164"/>
      <c r="Q500" s="164"/>
      <c r="R500" s="164"/>
    </row>
    <row r="501" spans="13:18" ht="15" customHeight="1" x14ac:dyDescent="1">
      <c r="M501" s="164"/>
      <c r="N501" s="164"/>
      <c r="O501" s="164"/>
      <c r="P501" s="164"/>
      <c r="Q501" s="164"/>
      <c r="R501" s="164"/>
    </row>
    <row r="502" spans="13:18" ht="15" customHeight="1" x14ac:dyDescent="1">
      <c r="M502" s="164"/>
      <c r="N502" s="164"/>
      <c r="O502" s="164"/>
      <c r="P502" s="164"/>
      <c r="Q502" s="164"/>
      <c r="R502" s="164"/>
    </row>
    <row r="503" spans="13:18" ht="15" customHeight="1" x14ac:dyDescent="1">
      <c r="M503" s="164"/>
      <c r="N503" s="164"/>
      <c r="O503" s="164"/>
      <c r="P503" s="164"/>
      <c r="Q503" s="164"/>
      <c r="R503" s="164"/>
    </row>
    <row r="504" spans="13:18" ht="15" customHeight="1" x14ac:dyDescent="1">
      <c r="M504" s="164"/>
      <c r="N504" s="164"/>
      <c r="O504" s="164"/>
      <c r="P504" s="164"/>
      <c r="Q504" s="164"/>
      <c r="R504" s="164"/>
    </row>
    <row r="505" spans="13:18" ht="15" customHeight="1" x14ac:dyDescent="1">
      <c r="M505" s="164"/>
      <c r="N505" s="164"/>
      <c r="O505" s="164"/>
      <c r="P505" s="164"/>
      <c r="Q505" s="164"/>
      <c r="R505" s="164"/>
    </row>
    <row r="506" spans="13:18" ht="15" customHeight="1" x14ac:dyDescent="1">
      <c r="M506" s="164"/>
      <c r="N506" s="164"/>
      <c r="O506" s="164"/>
      <c r="P506" s="164"/>
      <c r="Q506" s="164"/>
      <c r="R506" s="164"/>
    </row>
    <row r="507" spans="13:18" ht="15" customHeight="1" x14ac:dyDescent="1">
      <c r="M507" s="164"/>
      <c r="N507" s="164"/>
      <c r="O507" s="164"/>
      <c r="P507" s="164"/>
      <c r="Q507" s="164"/>
      <c r="R507" s="164"/>
    </row>
    <row r="508" spans="13:18" ht="15" customHeight="1" x14ac:dyDescent="1">
      <c r="M508" s="164"/>
      <c r="N508" s="164"/>
      <c r="O508" s="164"/>
      <c r="P508" s="164"/>
      <c r="Q508" s="164"/>
      <c r="R508" s="164"/>
    </row>
    <row r="509" spans="13:18" ht="15" customHeight="1" x14ac:dyDescent="1">
      <c r="M509" s="164"/>
      <c r="N509" s="164"/>
      <c r="O509" s="164"/>
      <c r="P509" s="164"/>
      <c r="Q509" s="164"/>
      <c r="R509" s="164"/>
    </row>
    <row r="510" spans="13:18" ht="15" customHeight="1" x14ac:dyDescent="1">
      <c r="M510" s="164"/>
      <c r="N510" s="164"/>
      <c r="O510" s="164"/>
      <c r="P510" s="164"/>
      <c r="Q510" s="164"/>
      <c r="R510" s="164"/>
    </row>
    <row r="511" spans="13:18" ht="15" customHeight="1" x14ac:dyDescent="1">
      <c r="M511" s="164"/>
      <c r="N511" s="164"/>
      <c r="O511" s="164"/>
      <c r="P511" s="164"/>
      <c r="Q511" s="164"/>
      <c r="R511" s="164"/>
    </row>
    <row r="512" spans="13:18" ht="15" customHeight="1" x14ac:dyDescent="1">
      <c r="M512" s="164"/>
      <c r="N512" s="164"/>
      <c r="O512" s="164"/>
      <c r="P512" s="164"/>
      <c r="Q512" s="164"/>
      <c r="R512" s="164"/>
    </row>
    <row r="514" spans="13:18" ht="15" customHeight="1" x14ac:dyDescent="1">
      <c r="M514" s="162"/>
      <c r="N514" s="162"/>
    </row>
    <row r="515" spans="13:18" ht="15" customHeight="1" x14ac:dyDescent="1">
      <c r="M515" s="163"/>
      <c r="N515" s="163"/>
      <c r="O515" s="163"/>
      <c r="P515" s="163"/>
      <c r="Q515" s="163"/>
      <c r="R515" s="163"/>
    </row>
    <row r="516" spans="13:18" ht="15" customHeight="1" x14ac:dyDescent="1">
      <c r="M516" s="164"/>
      <c r="N516" s="164"/>
      <c r="O516" s="164"/>
      <c r="P516" s="164"/>
      <c r="Q516" s="164"/>
      <c r="R516" s="164"/>
    </row>
    <row r="517" spans="13:18" ht="15" customHeight="1" x14ac:dyDescent="1">
      <c r="M517" s="164"/>
      <c r="N517" s="164"/>
      <c r="O517" s="164"/>
      <c r="P517" s="164"/>
      <c r="Q517" s="164"/>
      <c r="R517" s="164"/>
    </row>
    <row r="518" spans="13:18" ht="15" customHeight="1" x14ac:dyDescent="1">
      <c r="M518" s="164"/>
      <c r="N518" s="164"/>
      <c r="O518" s="164"/>
      <c r="P518" s="164"/>
      <c r="Q518" s="164"/>
      <c r="R518" s="164"/>
    </row>
    <row r="519" spans="13:18" ht="15" customHeight="1" x14ac:dyDescent="1">
      <c r="M519" s="164"/>
      <c r="N519" s="164"/>
      <c r="O519" s="164"/>
      <c r="P519" s="164"/>
      <c r="Q519" s="164"/>
      <c r="R519" s="164"/>
    </row>
    <row r="520" spans="13:18" ht="15" customHeight="1" x14ac:dyDescent="1">
      <c r="M520" s="164"/>
      <c r="N520" s="164"/>
      <c r="O520" s="164"/>
      <c r="P520" s="164"/>
      <c r="Q520" s="164"/>
      <c r="R520" s="164"/>
    </row>
    <row r="521" spans="13:18" ht="15" customHeight="1" x14ac:dyDescent="1">
      <c r="M521" s="164"/>
      <c r="N521" s="164"/>
      <c r="O521" s="164"/>
      <c r="P521" s="164"/>
      <c r="Q521" s="164"/>
      <c r="R521" s="164"/>
    </row>
    <row r="522" spans="13:18" ht="15" customHeight="1" x14ac:dyDescent="1">
      <c r="M522" s="164"/>
      <c r="N522" s="164"/>
      <c r="O522" s="164"/>
      <c r="P522" s="164"/>
      <c r="Q522" s="164"/>
      <c r="R522" s="164"/>
    </row>
    <row r="523" spans="13:18" ht="15" customHeight="1" x14ac:dyDescent="1">
      <c r="M523" s="164"/>
      <c r="N523" s="164"/>
      <c r="O523" s="164"/>
      <c r="P523" s="164"/>
      <c r="Q523" s="164"/>
      <c r="R523" s="164"/>
    </row>
    <row r="524" spans="13:18" ht="15" customHeight="1" x14ac:dyDescent="1">
      <c r="M524" s="164"/>
      <c r="N524" s="164"/>
      <c r="O524" s="164"/>
      <c r="P524" s="164"/>
      <c r="Q524" s="164"/>
      <c r="R524" s="164"/>
    </row>
    <row r="525" spans="13:18" ht="15" customHeight="1" x14ac:dyDescent="1">
      <c r="M525" s="164"/>
      <c r="N525" s="164"/>
      <c r="O525" s="164"/>
      <c r="P525" s="164"/>
      <c r="Q525" s="164"/>
      <c r="R525" s="164"/>
    </row>
    <row r="526" spans="13:18" ht="15" customHeight="1" x14ac:dyDescent="1">
      <c r="M526" s="164"/>
      <c r="N526" s="164"/>
      <c r="O526" s="164"/>
      <c r="P526" s="164"/>
      <c r="Q526" s="164"/>
      <c r="R526" s="164"/>
    </row>
    <row r="528" spans="13:18" ht="15" customHeight="1" x14ac:dyDescent="1">
      <c r="M528" s="162"/>
      <c r="N528" s="162"/>
    </row>
    <row r="529" spans="13:18" ht="15" customHeight="1" x14ac:dyDescent="1">
      <c r="M529" s="163"/>
      <c r="N529" s="163"/>
      <c r="O529" s="163"/>
      <c r="P529" s="163"/>
      <c r="Q529" s="163"/>
      <c r="R529" s="163"/>
    </row>
    <row r="530" spans="13:18" ht="15" customHeight="1" x14ac:dyDescent="1">
      <c r="M530" s="164"/>
      <c r="N530" s="164"/>
      <c r="O530" s="164"/>
      <c r="P530" s="164"/>
      <c r="Q530" s="164"/>
      <c r="R530" s="164"/>
    </row>
    <row r="531" spans="13:18" ht="15" customHeight="1" x14ac:dyDescent="1">
      <c r="M531" s="164"/>
      <c r="N531" s="164"/>
      <c r="O531" s="164"/>
      <c r="P531" s="164"/>
      <c r="Q531" s="164"/>
      <c r="R531" s="164"/>
    </row>
    <row r="532" spans="13:18" ht="15" customHeight="1" x14ac:dyDescent="1">
      <c r="M532" s="164"/>
      <c r="N532" s="164"/>
      <c r="O532" s="164"/>
      <c r="P532" s="164"/>
      <c r="Q532" s="164"/>
      <c r="R532" s="164"/>
    </row>
    <row r="533" spans="13:18" ht="15" customHeight="1" x14ac:dyDescent="1">
      <c r="M533" s="164"/>
      <c r="N533" s="164"/>
      <c r="O533" s="164"/>
      <c r="P533" s="164"/>
      <c r="Q533" s="164"/>
      <c r="R533" s="164"/>
    </row>
    <row r="534" spans="13:18" ht="15" customHeight="1" x14ac:dyDescent="1">
      <c r="M534" s="164"/>
      <c r="N534" s="164"/>
      <c r="O534" s="164"/>
      <c r="P534" s="164"/>
      <c r="Q534" s="164"/>
      <c r="R534" s="164"/>
    </row>
    <row r="535" spans="13:18" ht="15" customHeight="1" x14ac:dyDescent="1">
      <c r="M535" s="164"/>
      <c r="N535" s="164"/>
      <c r="O535" s="164"/>
      <c r="P535" s="164"/>
      <c r="Q535" s="164"/>
      <c r="R535" s="164"/>
    </row>
    <row r="536" spans="13:18" ht="15" customHeight="1" x14ac:dyDescent="1">
      <c r="M536" s="164"/>
      <c r="N536" s="164"/>
      <c r="O536" s="164"/>
      <c r="P536" s="164"/>
      <c r="Q536" s="164"/>
      <c r="R536" s="164"/>
    </row>
    <row r="537" spans="13:18" ht="15" customHeight="1" x14ac:dyDescent="1">
      <c r="M537" s="164"/>
      <c r="N537" s="164"/>
      <c r="O537" s="164"/>
      <c r="P537" s="164"/>
      <c r="Q537" s="164"/>
      <c r="R537" s="164"/>
    </row>
    <row r="538" spans="13:18" ht="15" customHeight="1" x14ac:dyDescent="1">
      <c r="M538" s="164"/>
      <c r="N538" s="164"/>
      <c r="O538" s="164"/>
      <c r="P538" s="164"/>
      <c r="Q538" s="164"/>
      <c r="R538" s="164"/>
    </row>
    <row r="539" spans="13:18" ht="15" customHeight="1" x14ac:dyDescent="1">
      <c r="M539" s="164"/>
      <c r="N539" s="164"/>
      <c r="O539" s="164"/>
      <c r="P539" s="164"/>
      <c r="Q539" s="164"/>
      <c r="R539" s="164"/>
    </row>
    <row r="540" spans="13:18" ht="15" customHeight="1" x14ac:dyDescent="1">
      <c r="M540" s="164"/>
      <c r="N540" s="164"/>
      <c r="O540" s="164"/>
      <c r="P540" s="164"/>
      <c r="Q540" s="164"/>
      <c r="R540" s="164"/>
    </row>
    <row r="541" spans="13:18" ht="15" customHeight="1" x14ac:dyDescent="1">
      <c r="M541" s="164"/>
      <c r="N541" s="164"/>
      <c r="O541" s="164"/>
      <c r="P541" s="164"/>
      <c r="Q541" s="164"/>
      <c r="R541" s="164"/>
    </row>
    <row r="542" spans="13:18" ht="15" customHeight="1" x14ac:dyDescent="1">
      <c r="M542" s="164"/>
      <c r="N542" s="164"/>
      <c r="O542" s="164"/>
      <c r="P542" s="164"/>
      <c r="Q542" s="164"/>
      <c r="R542" s="164"/>
    </row>
    <row r="543" spans="13:18" ht="15" customHeight="1" x14ac:dyDescent="1">
      <c r="M543" s="164"/>
      <c r="N543" s="164"/>
      <c r="O543" s="164"/>
      <c r="P543" s="164"/>
      <c r="Q543" s="164"/>
      <c r="R543" s="164"/>
    </row>
    <row r="544" spans="13:18" ht="15" customHeight="1" x14ac:dyDescent="1">
      <c r="M544" s="164"/>
      <c r="N544" s="164"/>
      <c r="O544" s="164"/>
      <c r="P544" s="164"/>
      <c r="Q544" s="164"/>
      <c r="R544" s="164"/>
    </row>
    <row r="545" spans="13:18" ht="15" customHeight="1" x14ac:dyDescent="1">
      <c r="M545" s="164"/>
      <c r="N545" s="164"/>
      <c r="O545" s="164"/>
      <c r="P545" s="164"/>
      <c r="Q545" s="164"/>
      <c r="R545" s="164"/>
    </row>
    <row r="546" spans="13:18" ht="15" customHeight="1" x14ac:dyDescent="1">
      <c r="M546" s="164"/>
      <c r="N546" s="164"/>
      <c r="O546" s="164"/>
      <c r="P546" s="164"/>
      <c r="Q546" s="164"/>
      <c r="R546" s="164"/>
    </row>
    <row r="547" spans="13:18" ht="15" customHeight="1" x14ac:dyDescent="1">
      <c r="M547" s="164"/>
      <c r="N547" s="164"/>
      <c r="O547" s="164"/>
      <c r="P547" s="164"/>
      <c r="Q547" s="164"/>
      <c r="R547" s="164"/>
    </row>
    <row r="548" spans="13:18" ht="15" customHeight="1" x14ac:dyDescent="1">
      <c r="M548" s="164"/>
      <c r="N548" s="164"/>
      <c r="O548" s="164"/>
      <c r="P548" s="164"/>
      <c r="Q548" s="164"/>
      <c r="R548" s="164"/>
    </row>
    <row r="549" spans="13:18" ht="15" customHeight="1" x14ac:dyDescent="1">
      <c r="M549" s="164"/>
      <c r="N549" s="164"/>
      <c r="O549" s="164"/>
      <c r="P549" s="164"/>
      <c r="Q549" s="164"/>
      <c r="R549" s="164"/>
    </row>
    <row r="550" spans="13:18" ht="15" customHeight="1" x14ac:dyDescent="1">
      <c r="M550" s="164"/>
      <c r="N550" s="164"/>
      <c r="O550" s="164"/>
      <c r="P550" s="164"/>
      <c r="Q550" s="164"/>
      <c r="R550" s="164"/>
    </row>
    <row r="551" spans="13:18" ht="15" customHeight="1" x14ac:dyDescent="1">
      <c r="M551" s="164"/>
      <c r="N551" s="164"/>
      <c r="O551" s="164"/>
      <c r="P551" s="164"/>
      <c r="Q551" s="164"/>
      <c r="R551" s="164"/>
    </row>
    <row r="552" spans="13:18" ht="15" customHeight="1" x14ac:dyDescent="1">
      <c r="M552" s="164"/>
      <c r="N552" s="164"/>
      <c r="O552" s="164"/>
      <c r="P552" s="164"/>
      <c r="Q552" s="164"/>
      <c r="R552" s="164"/>
    </row>
    <row r="553" spans="13:18" ht="15" customHeight="1" x14ac:dyDescent="1">
      <c r="M553" s="164"/>
      <c r="N553" s="164"/>
      <c r="O553" s="164"/>
      <c r="P553" s="164"/>
      <c r="Q553" s="164"/>
      <c r="R553" s="164"/>
    </row>
    <row r="554" spans="13:18" ht="15" customHeight="1" x14ac:dyDescent="1">
      <c r="M554" s="164"/>
      <c r="N554" s="164"/>
      <c r="O554" s="164"/>
      <c r="P554" s="164"/>
      <c r="Q554" s="164"/>
      <c r="R554" s="164"/>
    </row>
    <row r="555" spans="13:18" ht="15" customHeight="1" x14ac:dyDescent="1">
      <c r="M555" s="164"/>
      <c r="N555" s="164"/>
      <c r="O555" s="164"/>
      <c r="P555" s="164"/>
      <c r="Q555" s="164"/>
      <c r="R555" s="164"/>
    </row>
    <row r="556" spans="13:18" ht="15" customHeight="1" x14ac:dyDescent="1">
      <c r="M556" s="164"/>
      <c r="N556" s="164"/>
      <c r="O556" s="164"/>
      <c r="P556" s="164"/>
      <c r="Q556" s="164"/>
      <c r="R556" s="164"/>
    </row>
    <row r="557" spans="13:18" ht="15" customHeight="1" x14ac:dyDescent="1">
      <c r="M557" s="164"/>
      <c r="N557" s="164"/>
      <c r="O557" s="164"/>
      <c r="P557" s="164"/>
      <c r="Q557" s="164"/>
      <c r="R557" s="164"/>
    </row>
    <row r="558" spans="13:18" ht="15" customHeight="1" x14ac:dyDescent="1">
      <c r="M558" s="164"/>
      <c r="N558" s="164"/>
      <c r="O558" s="164"/>
      <c r="P558" s="164"/>
      <c r="Q558" s="164"/>
      <c r="R558" s="164"/>
    </row>
    <row r="559" spans="13:18" ht="15" customHeight="1" x14ac:dyDescent="1">
      <c r="M559" s="164"/>
      <c r="N559" s="164"/>
      <c r="O559" s="164"/>
      <c r="P559" s="164"/>
      <c r="Q559" s="164"/>
      <c r="R559" s="164"/>
    </row>
    <row r="561" spans="13:18" ht="15" customHeight="1" x14ac:dyDescent="1">
      <c r="M561" s="162"/>
      <c r="N561" s="162"/>
    </row>
    <row r="562" spans="13:18" ht="15" customHeight="1" x14ac:dyDescent="1">
      <c r="M562" s="163"/>
      <c r="N562" s="163"/>
      <c r="O562" s="163"/>
      <c r="P562" s="163"/>
      <c r="Q562" s="163"/>
      <c r="R562" s="163"/>
    </row>
    <row r="563" spans="13:18" ht="15" customHeight="1" x14ac:dyDescent="1">
      <c r="M563" s="164"/>
      <c r="N563" s="164"/>
      <c r="O563" s="164"/>
      <c r="P563" s="164"/>
      <c r="Q563" s="164"/>
      <c r="R563" s="164"/>
    </row>
    <row r="564" spans="13:18" ht="15" customHeight="1" x14ac:dyDescent="1">
      <c r="M564" s="164"/>
      <c r="N564" s="164"/>
      <c r="O564" s="164"/>
      <c r="P564" s="164"/>
      <c r="Q564" s="164"/>
      <c r="R564" s="164"/>
    </row>
    <row r="565" spans="13:18" ht="15" customHeight="1" x14ac:dyDescent="1">
      <c r="M565" s="164"/>
      <c r="N565" s="164"/>
      <c r="O565" s="164"/>
      <c r="P565" s="164"/>
      <c r="Q565" s="164"/>
      <c r="R565" s="164"/>
    </row>
    <row r="566" spans="13:18" ht="15" customHeight="1" x14ac:dyDescent="1">
      <c r="M566" s="164"/>
      <c r="N566" s="164"/>
      <c r="O566" s="164"/>
      <c r="P566" s="164"/>
      <c r="Q566" s="164"/>
      <c r="R566" s="164"/>
    </row>
    <row r="567" spans="13:18" ht="15" customHeight="1" x14ac:dyDescent="1">
      <c r="M567" s="164"/>
      <c r="N567" s="164"/>
      <c r="O567" s="164"/>
      <c r="P567" s="164"/>
      <c r="Q567" s="164"/>
      <c r="R567" s="164"/>
    </row>
    <row r="569" spans="13:18" ht="15" customHeight="1" x14ac:dyDescent="1">
      <c r="M569" s="162"/>
      <c r="N569" s="162"/>
    </row>
    <row r="570" spans="13:18" ht="15" customHeight="1" x14ac:dyDescent="1">
      <c r="M570" s="163"/>
      <c r="N570" s="163"/>
      <c r="O570" s="163"/>
      <c r="P570" s="163"/>
      <c r="Q570" s="163"/>
      <c r="R570" s="163"/>
    </row>
    <row r="571" spans="13:18" ht="15" customHeight="1" x14ac:dyDescent="1">
      <c r="M571" s="164"/>
      <c r="N571" s="164"/>
      <c r="O571" s="164"/>
      <c r="P571" s="164"/>
      <c r="Q571" s="164"/>
      <c r="R571" s="164"/>
    </row>
    <row r="572" spans="13:18" ht="15" customHeight="1" x14ac:dyDescent="1">
      <c r="M572" s="164"/>
      <c r="N572" s="164"/>
      <c r="O572" s="164"/>
      <c r="P572" s="164"/>
      <c r="Q572" s="164"/>
      <c r="R572" s="164"/>
    </row>
    <row r="573" spans="13:18" ht="15" customHeight="1" x14ac:dyDescent="1">
      <c r="M573" s="164"/>
      <c r="N573" s="164"/>
      <c r="O573" s="164"/>
      <c r="P573" s="164"/>
      <c r="Q573" s="164"/>
      <c r="R573" s="164"/>
    </row>
    <row r="574" spans="13:18" ht="15" customHeight="1" x14ac:dyDescent="1">
      <c r="M574" s="164"/>
      <c r="N574" s="164"/>
      <c r="O574" s="164"/>
      <c r="P574" s="164"/>
      <c r="Q574" s="164"/>
      <c r="R574" s="164"/>
    </row>
    <row r="575" spans="13:18" ht="15" customHeight="1" x14ac:dyDescent="1">
      <c r="M575" s="164"/>
      <c r="N575" s="164"/>
      <c r="O575" s="164"/>
      <c r="P575" s="164"/>
      <c r="Q575" s="164"/>
      <c r="R575" s="164"/>
    </row>
    <row r="577" spans="13:18" ht="15" customHeight="1" x14ac:dyDescent="1">
      <c r="M577" s="162"/>
      <c r="N577" s="162"/>
    </row>
    <row r="578" spans="13:18" ht="15" customHeight="1" x14ac:dyDescent="1">
      <c r="M578" s="163"/>
      <c r="N578" s="163"/>
      <c r="O578" s="163"/>
      <c r="P578" s="163"/>
      <c r="Q578" s="163"/>
      <c r="R578" s="163"/>
    </row>
    <row r="579" spans="13:18" ht="15" customHeight="1" x14ac:dyDescent="1">
      <c r="M579" s="164"/>
      <c r="N579" s="164"/>
      <c r="O579" s="164"/>
      <c r="P579" s="164"/>
      <c r="Q579" s="164"/>
      <c r="R579" s="164"/>
    </row>
    <row r="580" spans="13:18" ht="15" customHeight="1" x14ac:dyDescent="1">
      <c r="M580" s="164"/>
      <c r="N580" s="164"/>
      <c r="O580" s="164"/>
      <c r="P580" s="164"/>
      <c r="Q580" s="164"/>
      <c r="R580" s="164"/>
    </row>
    <row r="581" spans="13:18" ht="15" customHeight="1" x14ac:dyDescent="1">
      <c r="M581" s="164"/>
      <c r="N581" s="164"/>
      <c r="O581" s="164"/>
      <c r="P581" s="164"/>
      <c r="Q581" s="164"/>
      <c r="R581" s="164"/>
    </row>
    <row r="582" spans="13:18" ht="15" customHeight="1" x14ac:dyDescent="1">
      <c r="M582" s="164"/>
      <c r="N582" s="164"/>
      <c r="O582" s="164"/>
      <c r="P582" s="164"/>
      <c r="Q582" s="164"/>
      <c r="R582" s="164"/>
    </row>
    <row r="583" spans="13:18" ht="15" customHeight="1" x14ac:dyDescent="1">
      <c r="M583" s="164"/>
      <c r="N583" s="164"/>
      <c r="O583" s="164"/>
      <c r="P583" s="164"/>
      <c r="Q583" s="164"/>
      <c r="R583" s="164"/>
    </row>
    <row r="584" spans="13:18" ht="15" customHeight="1" x14ac:dyDescent="1">
      <c r="M584" s="164"/>
      <c r="N584" s="164"/>
      <c r="O584" s="164"/>
      <c r="P584" s="164"/>
      <c r="Q584" s="164"/>
      <c r="R584" s="164"/>
    </row>
    <row r="585" spans="13:18" ht="15" customHeight="1" x14ac:dyDescent="1">
      <c r="M585" s="164"/>
      <c r="N585" s="164"/>
      <c r="O585" s="164"/>
      <c r="P585" s="164"/>
      <c r="Q585" s="164"/>
      <c r="R585" s="164"/>
    </row>
    <row r="586" spans="13:18" ht="15" customHeight="1" x14ac:dyDescent="1">
      <c r="M586" s="164"/>
      <c r="N586" s="164"/>
      <c r="O586" s="164"/>
      <c r="P586" s="164"/>
      <c r="Q586" s="164"/>
      <c r="R586" s="164"/>
    </row>
    <row r="587" spans="13:18" ht="15" customHeight="1" x14ac:dyDescent="1">
      <c r="M587" s="164"/>
      <c r="N587" s="164"/>
      <c r="O587" s="164"/>
      <c r="P587" s="164"/>
      <c r="Q587" s="164"/>
      <c r="R587" s="164"/>
    </row>
    <row r="588" spans="13:18" ht="15" customHeight="1" x14ac:dyDescent="1">
      <c r="M588" s="164"/>
      <c r="N588" s="164"/>
      <c r="O588" s="164"/>
      <c r="P588" s="164"/>
      <c r="Q588" s="164"/>
      <c r="R588" s="164"/>
    </row>
    <row r="589" spans="13:18" ht="15" customHeight="1" x14ac:dyDescent="1">
      <c r="M589" s="164"/>
      <c r="N589" s="164"/>
      <c r="O589" s="164"/>
      <c r="P589" s="164"/>
      <c r="Q589" s="164"/>
      <c r="R589" s="164"/>
    </row>
    <row r="590" spans="13:18" ht="15" customHeight="1" x14ac:dyDescent="1">
      <c r="M590" s="164"/>
      <c r="N590" s="164"/>
      <c r="O590" s="164"/>
      <c r="P590" s="164"/>
      <c r="Q590" s="164"/>
      <c r="R590" s="164"/>
    </row>
    <row r="591" spans="13:18" ht="15" customHeight="1" x14ac:dyDescent="1">
      <c r="M591" s="164"/>
      <c r="N591" s="164"/>
      <c r="O591" s="164"/>
      <c r="P591" s="164"/>
      <c r="Q591" s="164"/>
      <c r="R591" s="164"/>
    </row>
    <row r="592" spans="13:18" ht="15" customHeight="1" x14ac:dyDescent="1">
      <c r="M592" s="164"/>
      <c r="N592" s="164"/>
      <c r="O592" s="164"/>
      <c r="P592" s="164"/>
      <c r="Q592" s="164"/>
      <c r="R592" s="164"/>
    </row>
    <row r="593" spans="13:18" ht="15" customHeight="1" x14ac:dyDescent="1">
      <c r="M593" s="164"/>
      <c r="N593" s="164"/>
      <c r="O593" s="164"/>
      <c r="P593" s="164"/>
      <c r="Q593" s="164"/>
      <c r="R593" s="164"/>
    </row>
    <row r="594" spans="13:18" ht="15" customHeight="1" x14ac:dyDescent="1">
      <c r="M594" s="164"/>
      <c r="N594" s="164"/>
      <c r="O594" s="164"/>
      <c r="P594" s="164"/>
      <c r="Q594" s="164"/>
      <c r="R594" s="164"/>
    </row>
    <row r="595" spans="13:18" ht="15" customHeight="1" x14ac:dyDescent="1">
      <c r="M595" s="164"/>
      <c r="N595" s="164"/>
      <c r="O595" s="164"/>
      <c r="P595" s="164"/>
      <c r="Q595" s="164"/>
      <c r="R595" s="164"/>
    </row>
    <row r="596" spans="13:18" ht="15" customHeight="1" x14ac:dyDescent="1">
      <c r="M596" s="164"/>
      <c r="N596" s="164"/>
      <c r="O596" s="164"/>
      <c r="P596" s="164"/>
      <c r="Q596" s="164"/>
      <c r="R596" s="164"/>
    </row>
    <row r="597" spans="13:18" ht="15" customHeight="1" x14ac:dyDescent="1">
      <c r="M597" s="164"/>
      <c r="N597" s="164"/>
      <c r="O597" s="164"/>
      <c r="P597" s="164"/>
      <c r="Q597" s="164"/>
      <c r="R597" s="164"/>
    </row>
    <row r="598" spans="13:18" ht="15" customHeight="1" x14ac:dyDescent="1">
      <c r="M598" s="164"/>
      <c r="N598" s="164"/>
      <c r="O598" s="164"/>
      <c r="P598" s="164"/>
      <c r="Q598" s="164"/>
      <c r="R598" s="164"/>
    </row>
    <row r="599" spans="13:18" ht="15" customHeight="1" x14ac:dyDescent="1">
      <c r="M599" s="164"/>
      <c r="N599" s="164"/>
      <c r="O599" s="164"/>
      <c r="P599" s="164"/>
      <c r="Q599" s="164"/>
      <c r="R599" s="164"/>
    </row>
    <row r="600" spans="13:18" ht="15" customHeight="1" x14ac:dyDescent="1">
      <c r="M600" s="164"/>
      <c r="N600" s="164"/>
      <c r="O600" s="164"/>
      <c r="P600" s="164"/>
      <c r="Q600" s="164"/>
      <c r="R600" s="164"/>
    </row>
    <row r="601" spans="13:18" ht="15" customHeight="1" x14ac:dyDescent="1">
      <c r="M601" s="164"/>
      <c r="N601" s="164"/>
      <c r="O601" s="164"/>
      <c r="P601" s="164"/>
      <c r="Q601" s="164"/>
      <c r="R601" s="164"/>
    </row>
    <row r="602" spans="13:18" ht="15" customHeight="1" x14ac:dyDescent="1">
      <c r="M602" s="164"/>
      <c r="N602" s="164"/>
      <c r="O602" s="164"/>
      <c r="P602" s="164"/>
      <c r="Q602" s="164"/>
      <c r="R602" s="164"/>
    </row>
    <row r="603" spans="13:18" ht="15" customHeight="1" x14ac:dyDescent="1">
      <c r="M603" s="164"/>
      <c r="N603" s="164"/>
      <c r="O603" s="164"/>
      <c r="P603" s="164"/>
      <c r="Q603" s="164"/>
      <c r="R603" s="164"/>
    </row>
    <row r="604" spans="13:18" ht="15" customHeight="1" x14ac:dyDescent="1">
      <c r="M604" s="164"/>
      <c r="N604" s="164"/>
      <c r="O604" s="164"/>
      <c r="P604" s="164"/>
      <c r="Q604" s="164"/>
      <c r="R604" s="164"/>
    </row>
    <row r="605" spans="13:18" ht="15" customHeight="1" x14ac:dyDescent="1">
      <c r="M605" s="164"/>
      <c r="N605" s="164"/>
      <c r="O605" s="164"/>
      <c r="P605" s="164"/>
      <c r="Q605" s="164"/>
      <c r="R605" s="164"/>
    </row>
    <row r="606" spans="13:18" ht="15" customHeight="1" x14ac:dyDescent="1">
      <c r="M606" s="164"/>
      <c r="N606" s="164"/>
      <c r="O606" s="164"/>
      <c r="P606" s="164"/>
      <c r="Q606" s="164"/>
      <c r="R606" s="164"/>
    </row>
    <row r="607" spans="13:18" ht="15" customHeight="1" x14ac:dyDescent="1">
      <c r="M607" s="164"/>
      <c r="N607" s="164"/>
      <c r="O607" s="164"/>
      <c r="P607" s="164"/>
      <c r="Q607" s="164"/>
      <c r="R607" s="164"/>
    </row>
    <row r="608" spans="13:18" ht="15" customHeight="1" x14ac:dyDescent="1">
      <c r="M608" s="164"/>
      <c r="N608" s="164"/>
      <c r="O608" s="164"/>
      <c r="P608" s="164"/>
      <c r="Q608" s="164"/>
      <c r="R608" s="164"/>
    </row>
    <row r="609" spans="13:18" ht="15" customHeight="1" x14ac:dyDescent="1">
      <c r="M609" s="164"/>
      <c r="N609" s="164"/>
      <c r="O609" s="164"/>
      <c r="P609" s="164"/>
      <c r="Q609" s="164"/>
      <c r="R609" s="164"/>
    </row>
    <row r="610" spans="13:18" ht="15" customHeight="1" x14ac:dyDescent="1">
      <c r="M610" s="164"/>
      <c r="N610" s="164"/>
      <c r="O610" s="164"/>
      <c r="P610" s="164"/>
      <c r="Q610" s="164"/>
      <c r="R610" s="164"/>
    </row>
    <row r="611" spans="13:18" ht="15" customHeight="1" x14ac:dyDescent="1">
      <c r="M611" s="164"/>
      <c r="N611" s="164"/>
      <c r="O611" s="164"/>
      <c r="P611" s="164"/>
      <c r="Q611" s="164"/>
      <c r="R611" s="164"/>
    </row>
    <row r="612" spans="13:18" ht="15" customHeight="1" x14ac:dyDescent="1">
      <c r="M612" s="164"/>
      <c r="N612" s="164"/>
      <c r="O612" s="164"/>
      <c r="P612" s="164"/>
      <c r="Q612" s="164"/>
      <c r="R612" s="164"/>
    </row>
    <row r="613" spans="13:18" ht="15" customHeight="1" x14ac:dyDescent="1">
      <c r="M613" s="164"/>
      <c r="N613" s="164"/>
      <c r="O613" s="164"/>
      <c r="P613" s="164"/>
      <c r="Q613" s="164"/>
      <c r="R613" s="164"/>
    </row>
    <row r="614" spans="13:18" ht="15" customHeight="1" x14ac:dyDescent="1">
      <c r="M614" s="164"/>
      <c r="N614" s="164"/>
      <c r="O614" s="164"/>
      <c r="P614" s="164"/>
      <c r="Q614" s="164"/>
      <c r="R614" s="164"/>
    </row>
    <row r="615" spans="13:18" ht="15" customHeight="1" x14ac:dyDescent="1">
      <c r="M615" s="164"/>
      <c r="N615" s="164"/>
      <c r="O615" s="164"/>
      <c r="P615" s="164"/>
      <c r="Q615" s="164"/>
      <c r="R615" s="164"/>
    </row>
    <row r="616" spans="13:18" ht="15" customHeight="1" x14ac:dyDescent="1">
      <c r="M616" s="164"/>
      <c r="N616" s="164"/>
      <c r="O616" s="164"/>
      <c r="P616" s="164"/>
      <c r="Q616" s="164"/>
      <c r="R616" s="164"/>
    </row>
    <row r="617" spans="13:18" ht="15" customHeight="1" x14ac:dyDescent="1">
      <c r="M617" s="164"/>
      <c r="N617" s="164"/>
      <c r="O617" s="164"/>
      <c r="P617" s="164"/>
      <c r="Q617" s="164"/>
      <c r="R617" s="164"/>
    </row>
    <row r="618" spans="13:18" ht="15" customHeight="1" x14ac:dyDescent="1">
      <c r="M618" s="164"/>
      <c r="N618" s="164"/>
      <c r="O618" s="164"/>
      <c r="P618" s="164"/>
      <c r="Q618" s="164"/>
      <c r="R618" s="164"/>
    </row>
    <row r="619" spans="13:18" ht="15" customHeight="1" x14ac:dyDescent="1">
      <c r="M619" s="164"/>
      <c r="N619" s="164"/>
      <c r="O619" s="164"/>
      <c r="P619" s="164"/>
      <c r="Q619" s="164"/>
      <c r="R619" s="164"/>
    </row>
    <row r="620" spans="13:18" ht="15" customHeight="1" x14ac:dyDescent="1">
      <c r="M620" s="164"/>
      <c r="N620" s="164"/>
      <c r="O620" s="164"/>
      <c r="P620" s="164"/>
      <c r="Q620" s="164"/>
      <c r="R620" s="164"/>
    </row>
    <row r="621" spans="13:18" ht="15" customHeight="1" x14ac:dyDescent="1">
      <c r="M621" s="164"/>
      <c r="N621" s="164"/>
      <c r="O621" s="164"/>
      <c r="P621" s="164"/>
      <c r="Q621" s="164"/>
      <c r="R621" s="164"/>
    </row>
    <row r="622" spans="13:18" ht="15" customHeight="1" x14ac:dyDescent="1">
      <c r="M622" s="164"/>
      <c r="N622" s="164"/>
      <c r="O622" s="164"/>
      <c r="P622" s="164"/>
      <c r="Q622" s="164"/>
      <c r="R622" s="164"/>
    </row>
    <row r="623" spans="13:18" ht="15" customHeight="1" x14ac:dyDescent="1">
      <c r="M623" s="164"/>
      <c r="N623" s="164"/>
      <c r="O623" s="164"/>
      <c r="P623" s="164"/>
      <c r="Q623" s="164"/>
      <c r="R623" s="164"/>
    </row>
    <row r="624" spans="13:18" ht="15" customHeight="1" x14ac:dyDescent="1">
      <c r="M624" s="164"/>
      <c r="N624" s="164"/>
      <c r="O624" s="164"/>
      <c r="P624" s="164"/>
      <c r="Q624" s="164"/>
      <c r="R624" s="164"/>
    </row>
    <row r="625" spans="13:18" ht="15" customHeight="1" x14ac:dyDescent="1">
      <c r="M625" s="164"/>
      <c r="N625" s="164"/>
      <c r="O625" s="164"/>
      <c r="P625" s="164"/>
      <c r="Q625" s="164"/>
      <c r="R625" s="164"/>
    </row>
    <row r="627" spans="13:18" ht="15" customHeight="1" x14ac:dyDescent="1">
      <c r="M627" s="162"/>
      <c r="N627" s="162"/>
    </row>
    <row r="628" spans="13:18" ht="15" customHeight="1" x14ac:dyDescent="1">
      <c r="M628" s="163"/>
      <c r="N628" s="163"/>
      <c r="O628" s="163"/>
      <c r="P628" s="163"/>
      <c r="Q628" s="163"/>
      <c r="R628" s="163"/>
    </row>
    <row r="629" spans="13:18" ht="15" customHeight="1" x14ac:dyDescent="1">
      <c r="M629" s="164"/>
      <c r="N629" s="164"/>
      <c r="O629" s="164"/>
      <c r="P629" s="164"/>
      <c r="Q629" s="164"/>
      <c r="R629" s="164"/>
    </row>
    <row r="630" spans="13:18" ht="15" customHeight="1" x14ac:dyDescent="1">
      <c r="M630" s="164"/>
      <c r="N630" s="164"/>
      <c r="O630" s="164"/>
      <c r="P630" s="164"/>
      <c r="Q630" s="164"/>
      <c r="R630" s="164"/>
    </row>
    <row r="631" spans="13:18" ht="15" customHeight="1" x14ac:dyDescent="1">
      <c r="M631" s="164"/>
      <c r="N631" s="164"/>
      <c r="O631" s="164"/>
      <c r="P631" s="164"/>
      <c r="Q631" s="164"/>
      <c r="R631" s="164"/>
    </row>
    <row r="632" spans="13:18" ht="15" customHeight="1" x14ac:dyDescent="1">
      <c r="M632" s="164"/>
      <c r="N632" s="164"/>
      <c r="O632" s="164"/>
      <c r="P632" s="164"/>
      <c r="Q632" s="164"/>
      <c r="R632" s="164"/>
    </row>
    <row r="633" spans="13:18" ht="15" customHeight="1" x14ac:dyDescent="1">
      <c r="M633" s="164"/>
      <c r="N633" s="164"/>
      <c r="O633" s="164"/>
      <c r="P633" s="164"/>
      <c r="Q633" s="164"/>
      <c r="R633" s="164"/>
    </row>
    <row r="634" spans="13:18" ht="15" customHeight="1" x14ac:dyDescent="1">
      <c r="M634" s="164"/>
      <c r="N634" s="164"/>
      <c r="O634" s="164"/>
      <c r="P634" s="164"/>
      <c r="Q634" s="164"/>
      <c r="R634" s="164"/>
    </row>
    <row r="635" spans="13:18" ht="15" customHeight="1" x14ac:dyDescent="1">
      <c r="M635" s="164"/>
      <c r="N635" s="164"/>
      <c r="O635" s="164"/>
      <c r="P635" s="164"/>
      <c r="Q635" s="164"/>
      <c r="R635" s="164"/>
    </row>
    <row r="636" spans="13:18" ht="15" customHeight="1" x14ac:dyDescent="1">
      <c r="M636" s="164"/>
      <c r="N636" s="164"/>
      <c r="O636" s="164"/>
      <c r="P636" s="164"/>
      <c r="Q636" s="164"/>
      <c r="R636" s="164"/>
    </row>
    <row r="637" spans="13:18" ht="15" customHeight="1" x14ac:dyDescent="1">
      <c r="M637" s="164"/>
      <c r="N637" s="164"/>
      <c r="O637" s="164"/>
      <c r="P637" s="164"/>
      <c r="Q637" s="164"/>
      <c r="R637" s="164"/>
    </row>
    <row r="638" spans="13:18" ht="15" customHeight="1" x14ac:dyDescent="1">
      <c r="M638" s="164"/>
      <c r="N638" s="164"/>
      <c r="O638" s="164"/>
      <c r="P638" s="164"/>
      <c r="Q638" s="164"/>
      <c r="R638" s="164"/>
    </row>
    <row r="639" spans="13:18" ht="15" customHeight="1" x14ac:dyDescent="1">
      <c r="M639" s="164"/>
      <c r="N639" s="164"/>
      <c r="O639" s="164"/>
      <c r="P639" s="164"/>
      <c r="Q639" s="164"/>
      <c r="R639" s="164"/>
    </row>
    <row r="640" spans="13:18" ht="15" customHeight="1" x14ac:dyDescent="1">
      <c r="M640" s="164"/>
      <c r="N640" s="164"/>
      <c r="O640" s="164"/>
      <c r="P640" s="164"/>
      <c r="Q640" s="164"/>
      <c r="R640" s="164"/>
    </row>
    <row r="641" spans="13:18" ht="15" customHeight="1" x14ac:dyDescent="1">
      <c r="M641" s="164"/>
      <c r="N641" s="164"/>
      <c r="O641" s="164"/>
      <c r="P641" s="164"/>
      <c r="Q641" s="164"/>
      <c r="R641" s="164"/>
    </row>
    <row r="642" spans="13:18" ht="15" customHeight="1" x14ac:dyDescent="1">
      <c r="M642" s="164"/>
      <c r="N642" s="164"/>
      <c r="O642" s="164"/>
      <c r="P642" s="164"/>
      <c r="Q642" s="164"/>
      <c r="R642" s="164"/>
    </row>
    <row r="643" spans="13:18" ht="15" customHeight="1" x14ac:dyDescent="1">
      <c r="M643" s="164"/>
      <c r="N643" s="164"/>
      <c r="O643" s="164"/>
      <c r="P643" s="164"/>
      <c r="Q643" s="164"/>
      <c r="R643" s="164"/>
    </row>
    <row r="644" spans="13:18" ht="15" customHeight="1" x14ac:dyDescent="1">
      <c r="M644" s="164"/>
      <c r="N644" s="164"/>
      <c r="O644" s="164"/>
      <c r="P644" s="164"/>
      <c r="Q644" s="164"/>
      <c r="R644" s="164"/>
    </row>
    <row r="645" spans="13:18" ht="15" customHeight="1" x14ac:dyDescent="1">
      <c r="M645" s="164"/>
      <c r="N645" s="164"/>
      <c r="O645" s="164"/>
      <c r="P645" s="164"/>
      <c r="Q645" s="164"/>
      <c r="R645" s="164"/>
    </row>
    <row r="646" spans="13:18" ht="15" customHeight="1" x14ac:dyDescent="1">
      <c r="M646" s="164"/>
      <c r="N646" s="164"/>
      <c r="O646" s="164"/>
      <c r="P646" s="164"/>
      <c r="Q646" s="164"/>
      <c r="R646" s="164"/>
    </row>
    <row r="647" spans="13:18" ht="15" customHeight="1" x14ac:dyDescent="1">
      <c r="M647" s="164"/>
      <c r="N647" s="164"/>
      <c r="O647" s="164"/>
      <c r="P647" s="164"/>
      <c r="Q647" s="164"/>
      <c r="R647" s="164"/>
    </row>
    <row r="648" spans="13:18" ht="15" customHeight="1" x14ac:dyDescent="1">
      <c r="M648" s="164"/>
      <c r="N648" s="164"/>
      <c r="O648" s="164"/>
      <c r="P648" s="164"/>
      <c r="Q648" s="164"/>
      <c r="R648" s="164"/>
    </row>
    <row r="649" spans="13:18" ht="15" customHeight="1" x14ac:dyDescent="1">
      <c r="M649" s="164"/>
      <c r="N649" s="164"/>
      <c r="O649" s="164"/>
      <c r="P649" s="164"/>
      <c r="Q649" s="164"/>
      <c r="R649" s="164"/>
    </row>
    <row r="650" spans="13:18" ht="15" customHeight="1" x14ac:dyDescent="1">
      <c r="M650" s="164"/>
      <c r="N650" s="164"/>
      <c r="O650" s="164"/>
      <c r="P650" s="164"/>
      <c r="Q650" s="164"/>
      <c r="R650" s="164"/>
    </row>
    <row r="651" spans="13:18" ht="15" customHeight="1" x14ac:dyDescent="1">
      <c r="M651" s="164"/>
      <c r="N651" s="164"/>
      <c r="O651" s="164"/>
      <c r="P651" s="164"/>
      <c r="Q651" s="164"/>
      <c r="R651" s="164"/>
    </row>
    <row r="652" spans="13:18" ht="15" customHeight="1" x14ac:dyDescent="1">
      <c r="M652" s="164"/>
      <c r="N652" s="164"/>
      <c r="O652" s="164"/>
      <c r="P652" s="164"/>
      <c r="Q652" s="164"/>
      <c r="R652" s="164"/>
    </row>
    <row r="653" spans="13:18" ht="15" customHeight="1" x14ac:dyDescent="1">
      <c r="M653" s="164"/>
      <c r="N653" s="164"/>
      <c r="O653" s="164"/>
      <c r="P653" s="164"/>
      <c r="Q653" s="164"/>
      <c r="R653" s="164"/>
    </row>
    <row r="654" spans="13:18" ht="15" customHeight="1" x14ac:dyDescent="1">
      <c r="M654" s="164"/>
      <c r="N654" s="164"/>
      <c r="O654" s="164"/>
      <c r="P654" s="164"/>
      <c r="Q654" s="164"/>
      <c r="R654" s="164"/>
    </row>
    <row r="655" spans="13:18" ht="15" customHeight="1" x14ac:dyDescent="1">
      <c r="M655" s="164"/>
      <c r="N655" s="164"/>
      <c r="O655" s="164"/>
      <c r="P655" s="164"/>
      <c r="Q655" s="164"/>
      <c r="R655" s="164"/>
    </row>
    <row r="656" spans="13:18" ht="15" customHeight="1" x14ac:dyDescent="1">
      <c r="M656" s="164"/>
      <c r="N656" s="164"/>
      <c r="O656" s="164"/>
      <c r="P656" s="164"/>
      <c r="Q656" s="164"/>
      <c r="R656" s="164"/>
    </row>
    <row r="657" spans="13:18" ht="15" customHeight="1" x14ac:dyDescent="1">
      <c r="M657" s="164"/>
      <c r="N657" s="164"/>
      <c r="O657" s="164"/>
      <c r="P657" s="164"/>
      <c r="Q657" s="164"/>
      <c r="R657" s="164"/>
    </row>
    <row r="658" spans="13:18" ht="15" customHeight="1" x14ac:dyDescent="1">
      <c r="M658" s="164"/>
      <c r="N658" s="164"/>
      <c r="O658" s="164"/>
      <c r="P658" s="164"/>
      <c r="Q658" s="164"/>
      <c r="R658" s="164"/>
    </row>
    <row r="659" spans="13:18" ht="15" customHeight="1" x14ac:dyDescent="1">
      <c r="M659" s="164"/>
      <c r="N659" s="164"/>
      <c r="O659" s="164"/>
      <c r="P659" s="164"/>
      <c r="Q659" s="164"/>
      <c r="R659" s="164"/>
    </row>
    <row r="660" spans="13:18" ht="15" customHeight="1" x14ac:dyDescent="1">
      <c r="M660" s="164"/>
      <c r="N660" s="164"/>
      <c r="O660" s="164"/>
      <c r="P660" s="164"/>
      <c r="Q660" s="164"/>
      <c r="R660" s="164"/>
    </row>
    <row r="661" spans="13:18" ht="15" customHeight="1" x14ac:dyDescent="1">
      <c r="M661" s="164"/>
      <c r="N661" s="164"/>
      <c r="O661" s="164"/>
      <c r="P661" s="164"/>
      <c r="Q661" s="164"/>
      <c r="R661" s="164"/>
    </row>
    <row r="662" spans="13:18" ht="15" customHeight="1" x14ac:dyDescent="1">
      <c r="M662" s="164"/>
      <c r="N662" s="164"/>
      <c r="O662" s="164"/>
      <c r="P662" s="164"/>
      <c r="Q662" s="164"/>
      <c r="R662" s="164"/>
    </row>
    <row r="663" spans="13:18" ht="15" customHeight="1" x14ac:dyDescent="1">
      <c r="M663" s="164"/>
      <c r="N663" s="164"/>
      <c r="O663" s="164"/>
      <c r="P663" s="164"/>
      <c r="Q663" s="164"/>
      <c r="R663" s="164"/>
    </row>
    <row r="664" spans="13:18" ht="15" customHeight="1" x14ac:dyDescent="1">
      <c r="M664" s="164"/>
      <c r="N664" s="164"/>
      <c r="O664" s="164"/>
      <c r="P664" s="164"/>
      <c r="Q664" s="164"/>
      <c r="R664" s="164"/>
    </row>
    <row r="665" spans="13:18" ht="15" customHeight="1" x14ac:dyDescent="1">
      <c r="M665" s="164"/>
      <c r="N665" s="164"/>
      <c r="O665" s="164"/>
      <c r="P665" s="164"/>
      <c r="Q665" s="164"/>
      <c r="R665" s="164"/>
    </row>
    <row r="666" spans="13:18" ht="15" customHeight="1" x14ac:dyDescent="1">
      <c r="M666" s="164"/>
      <c r="N666" s="164"/>
      <c r="O666" s="164"/>
      <c r="P666" s="164"/>
      <c r="Q666" s="164"/>
      <c r="R666" s="164"/>
    </row>
    <row r="667" spans="13:18" ht="15" customHeight="1" x14ac:dyDescent="1">
      <c r="M667" s="164"/>
      <c r="N667" s="164"/>
      <c r="O667" s="164"/>
      <c r="P667" s="164"/>
      <c r="Q667" s="164"/>
      <c r="R667" s="164"/>
    </row>
    <row r="668" spans="13:18" ht="15" customHeight="1" x14ac:dyDescent="1">
      <c r="M668" s="164"/>
      <c r="N668" s="164"/>
      <c r="O668" s="164"/>
      <c r="P668" s="164"/>
      <c r="Q668" s="164"/>
      <c r="R668" s="164"/>
    </row>
    <row r="669" spans="13:18" ht="15" customHeight="1" x14ac:dyDescent="1">
      <c r="M669" s="164"/>
      <c r="N669" s="164"/>
      <c r="O669" s="164"/>
      <c r="P669" s="164"/>
      <c r="Q669" s="164"/>
      <c r="R669" s="164"/>
    </row>
    <row r="670" spans="13:18" ht="15" customHeight="1" x14ac:dyDescent="1">
      <c r="M670" s="164"/>
      <c r="N670" s="164"/>
      <c r="O670" s="164"/>
      <c r="P670" s="164"/>
      <c r="Q670" s="164"/>
      <c r="R670" s="164"/>
    </row>
    <row r="671" spans="13:18" ht="15" customHeight="1" x14ac:dyDescent="1">
      <c r="M671" s="164"/>
      <c r="N671" s="164"/>
      <c r="O671" s="164"/>
      <c r="P671" s="164"/>
      <c r="Q671" s="164"/>
      <c r="R671" s="164"/>
    </row>
    <row r="672" spans="13:18" ht="15" customHeight="1" x14ac:dyDescent="1">
      <c r="M672" s="164"/>
      <c r="N672" s="164"/>
      <c r="O672" s="164"/>
      <c r="P672" s="164"/>
      <c r="Q672" s="164"/>
      <c r="R672" s="164"/>
    </row>
    <row r="673" spans="13:18" ht="15" customHeight="1" x14ac:dyDescent="1">
      <c r="M673" s="164"/>
      <c r="N673" s="164"/>
      <c r="O673" s="164"/>
      <c r="P673" s="164"/>
      <c r="Q673" s="164"/>
      <c r="R673" s="164"/>
    </row>
    <row r="674" spans="13:18" ht="15" customHeight="1" x14ac:dyDescent="1">
      <c r="M674" s="164"/>
      <c r="N674" s="164"/>
      <c r="O674" s="164"/>
      <c r="P674" s="164"/>
      <c r="Q674" s="164"/>
      <c r="R674" s="164"/>
    </row>
    <row r="675" spans="13:18" ht="15" customHeight="1" x14ac:dyDescent="1">
      <c r="M675" s="164"/>
      <c r="N675" s="164"/>
      <c r="O675" s="164"/>
      <c r="P675" s="164"/>
      <c r="Q675" s="164"/>
      <c r="R675" s="164"/>
    </row>
    <row r="677" spans="13:18" ht="15" customHeight="1" x14ac:dyDescent="1">
      <c r="M677" s="162"/>
      <c r="N677" s="162"/>
    </row>
    <row r="678" spans="13:18" ht="15" customHeight="1" x14ac:dyDescent="1">
      <c r="M678" s="163"/>
      <c r="N678" s="163"/>
      <c r="O678" s="163"/>
      <c r="P678" s="163"/>
      <c r="Q678" s="163"/>
      <c r="R678" s="163"/>
    </row>
    <row r="679" spans="13:18" ht="15" customHeight="1" x14ac:dyDescent="1">
      <c r="M679" s="164"/>
      <c r="N679" s="164"/>
      <c r="O679" s="164"/>
      <c r="P679" s="164"/>
      <c r="Q679" s="164"/>
      <c r="R679" s="164"/>
    </row>
    <row r="680" spans="13:18" ht="15" customHeight="1" x14ac:dyDescent="1">
      <c r="M680" s="164"/>
      <c r="N680" s="164"/>
      <c r="O680" s="164"/>
      <c r="P680" s="164"/>
      <c r="Q680" s="164"/>
      <c r="R680" s="164"/>
    </row>
    <row r="681" spans="13:18" ht="15" customHeight="1" x14ac:dyDescent="1">
      <c r="M681" s="164"/>
      <c r="N681" s="164"/>
      <c r="O681" s="164"/>
      <c r="P681" s="164"/>
      <c r="Q681" s="164"/>
      <c r="R681" s="164"/>
    </row>
    <row r="682" spans="13:18" ht="15" customHeight="1" x14ac:dyDescent="1">
      <c r="M682" s="164"/>
      <c r="N682" s="164"/>
      <c r="O682" s="164"/>
      <c r="P682" s="164"/>
      <c r="Q682" s="164"/>
      <c r="R682" s="164"/>
    </row>
    <row r="683" spans="13:18" ht="15" customHeight="1" x14ac:dyDescent="1">
      <c r="M683" s="164"/>
      <c r="N683" s="164"/>
      <c r="O683" s="164"/>
      <c r="P683" s="164"/>
      <c r="Q683" s="164"/>
      <c r="R683" s="164"/>
    </row>
    <row r="685" spans="13:18" ht="15" customHeight="1" x14ac:dyDescent="1">
      <c r="M685" s="162"/>
      <c r="N685" s="162"/>
    </row>
    <row r="686" spans="13:18" ht="15" customHeight="1" x14ac:dyDescent="1">
      <c r="M686" s="163"/>
      <c r="N686" s="163"/>
      <c r="O686" s="163"/>
      <c r="P686" s="163"/>
      <c r="Q686" s="163"/>
      <c r="R686" s="163"/>
    </row>
    <row r="687" spans="13:18" ht="15" customHeight="1" x14ac:dyDescent="1">
      <c r="M687" s="164"/>
      <c r="N687" s="164"/>
      <c r="O687" s="164"/>
      <c r="P687" s="164"/>
      <c r="Q687" s="164"/>
      <c r="R687" s="164"/>
    </row>
    <row r="688" spans="13:18" ht="15" customHeight="1" x14ac:dyDescent="1">
      <c r="M688" s="164"/>
      <c r="N688" s="164"/>
      <c r="O688" s="164"/>
      <c r="P688" s="164"/>
      <c r="Q688" s="164"/>
      <c r="R688" s="164"/>
    </row>
    <row r="689" spans="13:18" ht="15" customHeight="1" x14ac:dyDescent="1">
      <c r="M689" s="164"/>
      <c r="N689" s="164"/>
      <c r="O689" s="164"/>
      <c r="P689" s="164"/>
      <c r="Q689" s="164"/>
      <c r="R689" s="164"/>
    </row>
    <row r="690" spans="13:18" ht="15" customHeight="1" x14ac:dyDescent="1">
      <c r="M690" s="164"/>
      <c r="N690" s="164"/>
      <c r="O690" s="164"/>
      <c r="P690" s="164"/>
      <c r="Q690" s="164"/>
      <c r="R690" s="164"/>
    </row>
    <row r="691" spans="13:18" ht="15" customHeight="1" x14ac:dyDescent="1">
      <c r="M691" s="164"/>
      <c r="N691" s="164"/>
      <c r="O691" s="164"/>
      <c r="P691" s="164"/>
      <c r="Q691" s="164"/>
      <c r="R691" s="164"/>
    </row>
    <row r="693" spans="13:18" ht="15" customHeight="1" x14ac:dyDescent="1">
      <c r="M693" s="162"/>
      <c r="N693" s="162"/>
    </row>
    <row r="694" spans="13:18" ht="15" customHeight="1" x14ac:dyDescent="1">
      <c r="M694" s="163"/>
      <c r="N694" s="163"/>
      <c r="O694" s="163"/>
      <c r="P694" s="163"/>
      <c r="Q694" s="163"/>
      <c r="R694" s="163"/>
    </row>
    <row r="695" spans="13:18" ht="15" customHeight="1" x14ac:dyDescent="1">
      <c r="M695" s="164"/>
      <c r="N695" s="164"/>
      <c r="O695" s="164"/>
      <c r="P695" s="164"/>
      <c r="Q695" s="164"/>
      <c r="R695" s="164"/>
    </row>
    <row r="696" spans="13:18" ht="15" customHeight="1" x14ac:dyDescent="1">
      <c r="M696" s="164"/>
      <c r="N696" s="164"/>
      <c r="O696" s="164"/>
      <c r="P696" s="164"/>
      <c r="Q696" s="164"/>
      <c r="R696" s="164"/>
    </row>
    <row r="697" spans="13:18" ht="15" customHeight="1" x14ac:dyDescent="1">
      <c r="M697" s="164"/>
      <c r="N697" s="164"/>
      <c r="O697" s="164"/>
      <c r="P697" s="164"/>
      <c r="Q697" s="164"/>
      <c r="R697" s="164"/>
    </row>
    <row r="698" spans="13:18" ht="15" customHeight="1" x14ac:dyDescent="1">
      <c r="M698" s="164"/>
      <c r="N698" s="164"/>
      <c r="O698" s="164"/>
      <c r="P698" s="164"/>
      <c r="Q698" s="164"/>
      <c r="R698" s="164"/>
    </row>
    <row r="699" spans="13:18" ht="15" customHeight="1" x14ac:dyDescent="1">
      <c r="M699" s="164"/>
      <c r="N699" s="164"/>
      <c r="O699" s="164"/>
      <c r="P699" s="164"/>
      <c r="Q699" s="164"/>
      <c r="R699" s="164"/>
    </row>
    <row r="701" spans="13:18" ht="15" customHeight="1" x14ac:dyDescent="1">
      <c r="M701" s="162"/>
      <c r="N701" s="162"/>
    </row>
    <row r="702" spans="13:18" ht="15" customHeight="1" x14ac:dyDescent="1">
      <c r="M702" s="163"/>
      <c r="N702" s="163"/>
      <c r="O702" s="163"/>
      <c r="P702" s="163"/>
      <c r="Q702" s="163"/>
      <c r="R702" s="163"/>
    </row>
    <row r="703" spans="13:18" ht="15" customHeight="1" x14ac:dyDescent="1">
      <c r="M703" s="164"/>
      <c r="N703" s="164"/>
      <c r="O703" s="164"/>
      <c r="P703" s="164"/>
      <c r="Q703" s="164"/>
      <c r="R703" s="164"/>
    </row>
    <row r="704" spans="13:18" ht="15" customHeight="1" x14ac:dyDescent="1">
      <c r="M704" s="164"/>
      <c r="N704" s="164"/>
      <c r="O704" s="164"/>
      <c r="P704" s="164"/>
      <c r="Q704" s="164"/>
      <c r="R704" s="164"/>
    </row>
    <row r="705" spans="13:18" ht="15" customHeight="1" x14ac:dyDescent="1">
      <c r="M705" s="164"/>
      <c r="N705" s="164"/>
      <c r="O705" s="164"/>
      <c r="P705" s="164"/>
      <c r="Q705" s="164"/>
      <c r="R705" s="164"/>
    </row>
    <row r="706" spans="13:18" ht="15" customHeight="1" x14ac:dyDescent="1">
      <c r="M706" s="164"/>
      <c r="N706" s="164"/>
      <c r="O706" s="164"/>
      <c r="P706" s="164"/>
      <c r="Q706" s="164"/>
      <c r="R706" s="164"/>
    </row>
    <row r="707" spans="13:18" ht="15" customHeight="1" x14ac:dyDescent="1">
      <c r="M707" s="164"/>
      <c r="N707" s="164"/>
      <c r="O707" s="164"/>
      <c r="P707" s="164"/>
      <c r="Q707" s="164"/>
      <c r="R707" s="164"/>
    </row>
    <row r="709" spans="13:18" ht="15" customHeight="1" x14ac:dyDescent="1">
      <c r="M709" s="162"/>
      <c r="N709" s="162"/>
    </row>
    <row r="710" spans="13:18" ht="15" customHeight="1" x14ac:dyDescent="1">
      <c r="M710" s="163"/>
      <c r="N710" s="163"/>
      <c r="O710" s="163"/>
      <c r="P710" s="163"/>
      <c r="Q710" s="163"/>
      <c r="R710" s="163"/>
    </row>
    <row r="711" spans="13:18" ht="15" customHeight="1" x14ac:dyDescent="1">
      <c r="M711" s="164"/>
      <c r="N711" s="164"/>
      <c r="O711" s="164"/>
      <c r="P711" s="164"/>
      <c r="Q711" s="164"/>
      <c r="R711" s="164"/>
    </row>
    <row r="712" spans="13:18" ht="15" customHeight="1" x14ac:dyDescent="1">
      <c r="M712" s="164"/>
      <c r="N712" s="164"/>
      <c r="O712" s="164"/>
      <c r="P712" s="164"/>
      <c r="Q712" s="164"/>
      <c r="R712" s="164"/>
    </row>
    <row r="713" spans="13:18" ht="15" customHeight="1" x14ac:dyDescent="1">
      <c r="M713" s="164"/>
      <c r="N713" s="164"/>
      <c r="O713" s="164"/>
      <c r="P713" s="164"/>
      <c r="Q713" s="164"/>
      <c r="R713" s="164"/>
    </row>
    <row r="714" spans="13:18" ht="15" customHeight="1" x14ac:dyDescent="1">
      <c r="M714" s="164"/>
      <c r="N714" s="164"/>
      <c r="O714" s="164"/>
      <c r="P714" s="164"/>
      <c r="Q714" s="164"/>
      <c r="R714" s="164"/>
    </row>
    <row r="715" spans="13:18" ht="15" customHeight="1" x14ac:dyDescent="1">
      <c r="M715" s="164"/>
      <c r="N715" s="164"/>
      <c r="O715" s="164"/>
      <c r="P715" s="164"/>
      <c r="Q715" s="164"/>
      <c r="R715" s="164"/>
    </row>
    <row r="716" spans="13:18" ht="15" customHeight="1" x14ac:dyDescent="1">
      <c r="M716" s="164"/>
      <c r="N716" s="164"/>
      <c r="O716" s="164"/>
      <c r="P716" s="164"/>
      <c r="Q716" s="164"/>
      <c r="R716" s="164"/>
    </row>
    <row r="717" spans="13:18" ht="15" customHeight="1" x14ac:dyDescent="1">
      <c r="M717" s="164"/>
      <c r="N717" s="164"/>
      <c r="O717" s="164"/>
      <c r="P717" s="164"/>
      <c r="Q717" s="164"/>
      <c r="R717" s="164"/>
    </row>
    <row r="718" spans="13:18" ht="15" customHeight="1" x14ac:dyDescent="1">
      <c r="M718" s="164"/>
      <c r="N718" s="164"/>
      <c r="O718" s="164"/>
      <c r="P718" s="164"/>
      <c r="Q718" s="164"/>
      <c r="R718" s="164"/>
    </row>
    <row r="719" spans="13:18" ht="15" customHeight="1" x14ac:dyDescent="1">
      <c r="M719" s="164"/>
      <c r="N719" s="164"/>
      <c r="O719" s="164"/>
      <c r="P719" s="164"/>
      <c r="Q719" s="164"/>
      <c r="R719" s="164"/>
    </row>
    <row r="720" spans="13:18" ht="15" customHeight="1" x14ac:dyDescent="1">
      <c r="M720" s="164"/>
      <c r="N720" s="164"/>
      <c r="O720" s="164"/>
      <c r="P720" s="164"/>
      <c r="Q720" s="164"/>
      <c r="R720" s="164"/>
    </row>
    <row r="721" spans="13:18" ht="15" customHeight="1" x14ac:dyDescent="1">
      <c r="M721" s="164"/>
      <c r="N721" s="164"/>
      <c r="O721" s="164"/>
      <c r="P721" s="164"/>
      <c r="Q721" s="164"/>
      <c r="R721" s="164"/>
    </row>
    <row r="722" spans="13:18" ht="15" customHeight="1" x14ac:dyDescent="1">
      <c r="M722" s="164"/>
      <c r="N722" s="164"/>
      <c r="O722" s="164"/>
      <c r="P722" s="164"/>
      <c r="Q722" s="164"/>
      <c r="R722" s="164"/>
    </row>
    <row r="723" spans="13:18" ht="15" customHeight="1" x14ac:dyDescent="1">
      <c r="M723" s="164"/>
      <c r="N723" s="164"/>
      <c r="O723" s="164"/>
      <c r="P723" s="164"/>
      <c r="Q723" s="164"/>
      <c r="R723" s="164"/>
    </row>
    <row r="724" spans="13:18" ht="15" customHeight="1" x14ac:dyDescent="1">
      <c r="M724" s="164"/>
      <c r="N724" s="164"/>
      <c r="O724" s="164"/>
      <c r="P724" s="164"/>
      <c r="Q724" s="164"/>
      <c r="R724" s="164"/>
    </row>
    <row r="725" spans="13:18" ht="15" customHeight="1" x14ac:dyDescent="1">
      <c r="M725" s="164"/>
      <c r="N725" s="164"/>
      <c r="O725" s="164"/>
      <c r="P725" s="164"/>
      <c r="Q725" s="164"/>
      <c r="R725" s="164"/>
    </row>
    <row r="726" spans="13:18" ht="15" customHeight="1" x14ac:dyDescent="1">
      <c r="M726" s="164"/>
      <c r="N726" s="164"/>
      <c r="O726" s="164"/>
      <c r="P726" s="164"/>
      <c r="Q726" s="164"/>
      <c r="R726" s="164"/>
    </row>
    <row r="727" spans="13:18" ht="15" customHeight="1" x14ac:dyDescent="1">
      <c r="M727" s="164"/>
      <c r="N727" s="164"/>
      <c r="O727" s="164"/>
      <c r="P727" s="164"/>
      <c r="Q727" s="164"/>
      <c r="R727" s="164"/>
    </row>
    <row r="728" spans="13:18" ht="15" customHeight="1" x14ac:dyDescent="1">
      <c r="M728" s="164"/>
      <c r="N728" s="164"/>
      <c r="O728" s="164"/>
      <c r="P728" s="164"/>
      <c r="Q728" s="164"/>
      <c r="R728" s="164"/>
    </row>
    <row r="729" spans="13:18" ht="15" customHeight="1" x14ac:dyDescent="1">
      <c r="M729" s="164"/>
      <c r="N729" s="164"/>
      <c r="O729" s="164"/>
      <c r="P729" s="164"/>
      <c r="Q729" s="164"/>
      <c r="R729" s="164"/>
    </row>
    <row r="730" spans="13:18" ht="15" customHeight="1" x14ac:dyDescent="1">
      <c r="M730" s="164"/>
      <c r="N730" s="164"/>
      <c r="O730" s="164"/>
      <c r="P730" s="164"/>
      <c r="Q730" s="164"/>
      <c r="R730" s="164"/>
    </row>
    <row r="731" spans="13:18" ht="15" customHeight="1" x14ac:dyDescent="1">
      <c r="M731" s="164"/>
      <c r="N731" s="164"/>
      <c r="O731" s="164"/>
      <c r="P731" s="164"/>
      <c r="Q731" s="164"/>
      <c r="R731" s="164"/>
    </row>
    <row r="732" spans="13:18" ht="15" customHeight="1" x14ac:dyDescent="1">
      <c r="M732" s="164"/>
      <c r="N732" s="164"/>
      <c r="O732" s="164"/>
      <c r="P732" s="164"/>
      <c r="Q732" s="164"/>
      <c r="R732" s="164"/>
    </row>
    <row r="733" spans="13:18" ht="15" customHeight="1" x14ac:dyDescent="1">
      <c r="M733" s="164"/>
      <c r="N733" s="164"/>
      <c r="O733" s="164"/>
      <c r="P733" s="164"/>
      <c r="Q733" s="164"/>
      <c r="R733" s="164"/>
    </row>
    <row r="734" spans="13:18" ht="15" customHeight="1" x14ac:dyDescent="1">
      <c r="M734" s="164"/>
      <c r="N734" s="164"/>
      <c r="O734" s="164"/>
      <c r="P734" s="164"/>
      <c r="Q734" s="164"/>
      <c r="R734" s="164"/>
    </row>
    <row r="735" spans="13:18" ht="15" customHeight="1" x14ac:dyDescent="1">
      <c r="M735" s="164"/>
      <c r="N735" s="164"/>
      <c r="O735" s="164"/>
      <c r="P735" s="164"/>
      <c r="Q735" s="164"/>
      <c r="R735" s="164"/>
    </row>
    <row r="736" spans="13:18" ht="15" customHeight="1" x14ac:dyDescent="1">
      <c r="M736" s="164"/>
      <c r="N736" s="164"/>
      <c r="O736" s="164"/>
      <c r="P736" s="164"/>
      <c r="Q736" s="164"/>
      <c r="R736" s="164"/>
    </row>
    <row r="737" spans="13:18" ht="15" customHeight="1" x14ac:dyDescent="1">
      <c r="M737" s="164"/>
      <c r="N737" s="164"/>
      <c r="O737" s="164"/>
      <c r="P737" s="164"/>
      <c r="Q737" s="164"/>
      <c r="R737" s="164"/>
    </row>
    <row r="738" spans="13:18" ht="15" customHeight="1" x14ac:dyDescent="1">
      <c r="M738" s="164"/>
      <c r="N738" s="164"/>
      <c r="O738" s="164"/>
      <c r="P738" s="164"/>
      <c r="Q738" s="164"/>
      <c r="R738" s="164"/>
    </row>
    <row r="739" spans="13:18" ht="15" customHeight="1" x14ac:dyDescent="1">
      <c r="M739" s="164"/>
      <c r="N739" s="164"/>
      <c r="O739" s="164"/>
      <c r="P739" s="164"/>
      <c r="Q739" s="164"/>
      <c r="R739" s="164"/>
    </row>
    <row r="740" spans="13:18" ht="15" customHeight="1" x14ac:dyDescent="1">
      <c r="M740" s="164"/>
      <c r="N740" s="164"/>
      <c r="O740" s="164"/>
      <c r="P740" s="164"/>
      <c r="Q740" s="164"/>
      <c r="R740" s="164"/>
    </row>
    <row r="741" spans="13:18" ht="15" customHeight="1" x14ac:dyDescent="1">
      <c r="M741" s="164"/>
      <c r="N741" s="164"/>
      <c r="O741" s="164"/>
      <c r="P741" s="164"/>
      <c r="Q741" s="164"/>
      <c r="R741" s="164"/>
    </row>
    <row r="742" spans="13:18" ht="15" customHeight="1" x14ac:dyDescent="1">
      <c r="M742" s="164"/>
      <c r="N742" s="164"/>
      <c r="O742" s="164"/>
      <c r="P742" s="164"/>
      <c r="Q742" s="164"/>
      <c r="R742" s="164"/>
    </row>
    <row r="743" spans="13:18" ht="15" customHeight="1" x14ac:dyDescent="1">
      <c r="M743" s="164"/>
      <c r="N743" s="164"/>
      <c r="O743" s="164"/>
      <c r="P743" s="164"/>
      <c r="Q743" s="164"/>
      <c r="R743" s="164"/>
    </row>
    <row r="744" spans="13:18" ht="15" customHeight="1" x14ac:dyDescent="1">
      <c r="M744" s="164"/>
      <c r="N744" s="164"/>
      <c r="O744" s="164"/>
      <c r="P744" s="164"/>
      <c r="Q744" s="164"/>
      <c r="R744" s="164"/>
    </row>
    <row r="745" spans="13:18" ht="15" customHeight="1" x14ac:dyDescent="1">
      <c r="M745" s="164"/>
      <c r="N745" s="164"/>
      <c r="O745" s="164"/>
      <c r="P745" s="164"/>
      <c r="Q745" s="164"/>
      <c r="R745" s="164"/>
    </row>
    <row r="746" spans="13:18" ht="15" customHeight="1" x14ac:dyDescent="1">
      <c r="M746" s="164"/>
      <c r="N746" s="164"/>
      <c r="O746" s="164"/>
      <c r="P746" s="164"/>
      <c r="Q746" s="164"/>
      <c r="R746" s="164"/>
    </row>
    <row r="747" spans="13:18" ht="15" customHeight="1" x14ac:dyDescent="1">
      <c r="M747" s="164"/>
      <c r="N747" s="164"/>
      <c r="O747" s="164"/>
      <c r="P747" s="164"/>
      <c r="Q747" s="164"/>
      <c r="R747" s="164"/>
    </row>
    <row r="748" spans="13:18" ht="15" customHeight="1" x14ac:dyDescent="1">
      <c r="M748" s="164"/>
      <c r="N748" s="164"/>
      <c r="O748" s="164"/>
      <c r="P748" s="164"/>
      <c r="Q748" s="164"/>
      <c r="R748" s="164"/>
    </row>
    <row r="749" spans="13:18" ht="15" customHeight="1" x14ac:dyDescent="1">
      <c r="M749" s="164"/>
      <c r="N749" s="164"/>
      <c r="O749" s="164"/>
      <c r="P749" s="164"/>
      <c r="Q749" s="164"/>
      <c r="R749" s="164"/>
    </row>
    <row r="750" spans="13:18" ht="15" customHeight="1" x14ac:dyDescent="1">
      <c r="M750" s="164"/>
      <c r="N750" s="164"/>
      <c r="O750" s="164"/>
      <c r="P750" s="164"/>
      <c r="Q750" s="164"/>
      <c r="R750" s="164"/>
    </row>
    <row r="751" spans="13:18" ht="15" customHeight="1" x14ac:dyDescent="1">
      <c r="M751" s="164"/>
      <c r="N751" s="164"/>
      <c r="O751" s="164"/>
      <c r="P751" s="164"/>
      <c r="Q751" s="164"/>
      <c r="R751" s="164"/>
    </row>
    <row r="752" spans="13:18" ht="15" customHeight="1" x14ac:dyDescent="1">
      <c r="M752" s="164"/>
      <c r="N752" s="164"/>
      <c r="O752" s="164"/>
      <c r="P752" s="164"/>
      <c r="Q752" s="164"/>
      <c r="R752" s="164"/>
    </row>
    <row r="753" spans="13:18" ht="15" customHeight="1" x14ac:dyDescent="1">
      <c r="M753" s="164"/>
      <c r="N753" s="164"/>
      <c r="O753" s="164"/>
      <c r="P753" s="164"/>
      <c r="Q753" s="164"/>
      <c r="R753" s="164"/>
    </row>
    <row r="754" spans="13:18" ht="15" customHeight="1" x14ac:dyDescent="1">
      <c r="M754" s="164"/>
      <c r="N754" s="164"/>
      <c r="O754" s="164"/>
      <c r="P754" s="164"/>
      <c r="Q754" s="164"/>
      <c r="R754" s="164"/>
    </row>
    <row r="755" spans="13:18" ht="15" customHeight="1" x14ac:dyDescent="1">
      <c r="M755" s="164"/>
      <c r="N755" s="164"/>
      <c r="O755" s="164"/>
      <c r="P755" s="164"/>
      <c r="Q755" s="164"/>
      <c r="R755" s="164"/>
    </row>
    <row r="756" spans="13:18" ht="15" customHeight="1" x14ac:dyDescent="1">
      <c r="M756" s="164"/>
      <c r="N756" s="164"/>
      <c r="O756" s="164"/>
      <c r="P756" s="164"/>
      <c r="Q756" s="164"/>
      <c r="R756" s="164"/>
    </row>
    <row r="757" spans="13:18" ht="15" customHeight="1" x14ac:dyDescent="1">
      <c r="M757" s="164"/>
      <c r="N757" s="164"/>
      <c r="O757" s="164"/>
      <c r="P757" s="164"/>
      <c r="Q757" s="164"/>
      <c r="R757" s="164"/>
    </row>
    <row r="758" spans="13:18" ht="15" customHeight="1" x14ac:dyDescent="1">
      <c r="M758" s="164"/>
      <c r="N758" s="164"/>
      <c r="O758" s="164"/>
      <c r="P758" s="164"/>
      <c r="Q758" s="164"/>
      <c r="R758" s="164"/>
    </row>
    <row r="759" spans="13:18" ht="15" customHeight="1" x14ac:dyDescent="1">
      <c r="M759" s="164"/>
      <c r="N759" s="164"/>
      <c r="O759" s="164"/>
      <c r="P759" s="164"/>
      <c r="Q759" s="164"/>
      <c r="R759" s="164"/>
    </row>
    <row r="760" spans="13:18" ht="15" customHeight="1" x14ac:dyDescent="1">
      <c r="M760" s="164"/>
      <c r="N760" s="164"/>
      <c r="O760" s="164"/>
      <c r="P760" s="164"/>
      <c r="Q760" s="164"/>
      <c r="R760" s="164"/>
    </row>
    <row r="761" spans="13:18" ht="15" customHeight="1" x14ac:dyDescent="1">
      <c r="M761" s="164"/>
      <c r="N761" s="164"/>
      <c r="O761" s="164"/>
      <c r="P761" s="164"/>
      <c r="Q761" s="164"/>
      <c r="R761" s="164"/>
    </row>
    <row r="762" spans="13:18" ht="15" customHeight="1" x14ac:dyDescent="1">
      <c r="M762" s="164"/>
      <c r="N762" s="164"/>
      <c r="O762" s="164"/>
      <c r="P762" s="164"/>
      <c r="Q762" s="164"/>
      <c r="R762" s="164"/>
    </row>
    <row r="763" spans="13:18" ht="15" customHeight="1" x14ac:dyDescent="1">
      <c r="M763" s="164"/>
      <c r="N763" s="164"/>
      <c r="O763" s="164"/>
      <c r="P763" s="164"/>
      <c r="Q763" s="164"/>
      <c r="R763" s="164"/>
    </row>
    <row r="764" spans="13:18" ht="15" customHeight="1" x14ac:dyDescent="1">
      <c r="M764" s="164"/>
      <c r="N764" s="164"/>
      <c r="O764" s="164"/>
      <c r="P764" s="164"/>
      <c r="Q764" s="164"/>
      <c r="R764" s="164"/>
    </row>
    <row r="765" spans="13:18" ht="15" customHeight="1" x14ac:dyDescent="1">
      <c r="M765" s="164"/>
      <c r="N765" s="164"/>
      <c r="O765" s="164"/>
      <c r="P765" s="164"/>
      <c r="Q765" s="164"/>
      <c r="R765" s="164"/>
    </row>
    <row r="766" spans="13:18" ht="15" customHeight="1" x14ac:dyDescent="1">
      <c r="M766" s="164"/>
      <c r="N766" s="164"/>
      <c r="O766" s="164"/>
      <c r="P766" s="164"/>
      <c r="Q766" s="164"/>
      <c r="R766" s="164"/>
    </row>
    <row r="767" spans="13:18" ht="15" customHeight="1" x14ac:dyDescent="1">
      <c r="M767" s="164"/>
      <c r="N767" s="164"/>
      <c r="O767" s="164"/>
      <c r="P767" s="164"/>
      <c r="Q767" s="164"/>
      <c r="R767" s="164"/>
    </row>
    <row r="768" spans="13:18" ht="15" customHeight="1" x14ac:dyDescent="1">
      <c r="M768" s="164"/>
      <c r="N768" s="164"/>
      <c r="O768" s="164"/>
      <c r="P768" s="164"/>
      <c r="Q768" s="164"/>
      <c r="R768" s="164"/>
    </row>
    <row r="769" spans="13:18" ht="15" customHeight="1" x14ac:dyDescent="1">
      <c r="M769" s="164"/>
      <c r="N769" s="164"/>
      <c r="O769" s="164"/>
      <c r="P769" s="164"/>
      <c r="Q769" s="164"/>
      <c r="R769" s="164"/>
    </row>
    <row r="770" spans="13:18" ht="15" customHeight="1" x14ac:dyDescent="1">
      <c r="M770" s="164"/>
      <c r="N770" s="164"/>
      <c r="O770" s="164"/>
      <c r="P770" s="164"/>
      <c r="Q770" s="164"/>
      <c r="R770" s="164"/>
    </row>
    <row r="771" spans="13:18" ht="15" customHeight="1" x14ac:dyDescent="1">
      <c r="M771" s="164"/>
      <c r="N771" s="164"/>
      <c r="O771" s="164"/>
      <c r="P771" s="164"/>
      <c r="Q771" s="164"/>
      <c r="R771" s="164"/>
    </row>
    <row r="772" spans="13:18" ht="15" customHeight="1" x14ac:dyDescent="1">
      <c r="M772" s="164"/>
      <c r="N772" s="164"/>
      <c r="O772" s="164"/>
      <c r="P772" s="164"/>
      <c r="Q772" s="164"/>
      <c r="R772" s="164"/>
    </row>
    <row r="773" spans="13:18" ht="15" customHeight="1" x14ac:dyDescent="1">
      <c r="M773" s="164"/>
      <c r="N773" s="164"/>
      <c r="O773" s="164"/>
      <c r="P773" s="164"/>
      <c r="Q773" s="164"/>
      <c r="R773" s="164"/>
    </row>
    <row r="774" spans="13:18" ht="15" customHeight="1" x14ac:dyDescent="1">
      <c r="M774" s="164"/>
      <c r="N774" s="164"/>
      <c r="O774" s="164"/>
      <c r="P774" s="164"/>
      <c r="Q774" s="164"/>
      <c r="R774" s="164"/>
    </row>
    <row r="775" spans="13:18" ht="15" customHeight="1" x14ac:dyDescent="1">
      <c r="M775" s="164"/>
      <c r="N775" s="164"/>
      <c r="O775" s="164"/>
      <c r="P775" s="164"/>
      <c r="Q775" s="164"/>
      <c r="R775" s="164"/>
    </row>
    <row r="776" spans="13:18" ht="15" customHeight="1" x14ac:dyDescent="1">
      <c r="M776" s="164"/>
      <c r="N776" s="164"/>
      <c r="O776" s="164"/>
      <c r="P776" s="164"/>
      <c r="Q776" s="164"/>
      <c r="R776" s="164"/>
    </row>
    <row r="777" spans="13:18" ht="15" customHeight="1" x14ac:dyDescent="1">
      <c r="M777" s="164"/>
      <c r="N777" s="164"/>
      <c r="O777" s="164"/>
      <c r="P777" s="164"/>
      <c r="Q777" s="164"/>
      <c r="R777" s="164"/>
    </row>
    <row r="778" spans="13:18" ht="15" customHeight="1" x14ac:dyDescent="1">
      <c r="M778" s="164"/>
      <c r="N778" s="164"/>
      <c r="O778" s="164"/>
      <c r="P778" s="164"/>
      <c r="Q778" s="164"/>
      <c r="R778" s="164"/>
    </row>
    <row r="779" spans="13:18" ht="15" customHeight="1" x14ac:dyDescent="1">
      <c r="M779" s="164"/>
      <c r="N779" s="164"/>
      <c r="O779" s="164"/>
      <c r="P779" s="164"/>
      <c r="Q779" s="164"/>
      <c r="R779" s="164"/>
    </row>
    <row r="780" spans="13:18" ht="15" customHeight="1" x14ac:dyDescent="1">
      <c r="M780" s="164"/>
      <c r="N780" s="164"/>
      <c r="O780" s="164"/>
      <c r="P780" s="164"/>
      <c r="Q780" s="164"/>
      <c r="R780" s="164"/>
    </row>
    <row r="781" spans="13:18" ht="15" customHeight="1" x14ac:dyDescent="1">
      <c r="M781" s="164"/>
      <c r="N781" s="164"/>
      <c r="O781" s="164"/>
      <c r="P781" s="164"/>
      <c r="Q781" s="164"/>
      <c r="R781" s="164"/>
    </row>
    <row r="782" spans="13:18" ht="15" customHeight="1" x14ac:dyDescent="1">
      <c r="M782" s="164"/>
      <c r="N782" s="164"/>
      <c r="O782" s="164"/>
      <c r="P782" s="164"/>
      <c r="Q782" s="164"/>
      <c r="R782" s="164"/>
    </row>
    <row r="783" spans="13:18" ht="15" customHeight="1" x14ac:dyDescent="1">
      <c r="M783" s="164"/>
      <c r="N783" s="164"/>
      <c r="O783" s="164"/>
      <c r="P783" s="164"/>
      <c r="Q783" s="164"/>
      <c r="R783" s="164"/>
    </row>
    <row r="784" spans="13:18" ht="15" customHeight="1" x14ac:dyDescent="1">
      <c r="M784" s="164"/>
      <c r="N784" s="164"/>
      <c r="O784" s="164"/>
      <c r="P784" s="164"/>
      <c r="Q784" s="164"/>
      <c r="R784" s="164"/>
    </row>
    <row r="785" spans="13:18" ht="15" customHeight="1" x14ac:dyDescent="1">
      <c r="M785" s="164"/>
      <c r="N785" s="164"/>
      <c r="O785" s="164"/>
      <c r="P785" s="164"/>
      <c r="Q785" s="164"/>
      <c r="R785" s="164"/>
    </row>
    <row r="786" spans="13:18" ht="15" customHeight="1" x14ac:dyDescent="1">
      <c r="M786" s="164"/>
      <c r="N786" s="164"/>
      <c r="O786" s="164"/>
      <c r="P786" s="164"/>
      <c r="Q786" s="164"/>
      <c r="R786" s="164"/>
    </row>
    <row r="787" spans="13:18" ht="15" customHeight="1" x14ac:dyDescent="1">
      <c r="M787" s="164"/>
      <c r="N787" s="164"/>
      <c r="O787" s="164"/>
      <c r="P787" s="164"/>
      <c r="Q787" s="164"/>
      <c r="R787" s="164"/>
    </row>
    <row r="788" spans="13:18" ht="15" customHeight="1" x14ac:dyDescent="1">
      <c r="M788" s="164"/>
      <c r="N788" s="164"/>
      <c r="O788" s="164"/>
      <c r="P788" s="164"/>
      <c r="Q788" s="164"/>
      <c r="R788" s="164"/>
    </row>
    <row r="789" spans="13:18" ht="15" customHeight="1" x14ac:dyDescent="1">
      <c r="M789" s="164"/>
      <c r="N789" s="164"/>
      <c r="O789" s="164"/>
      <c r="P789" s="164"/>
      <c r="Q789" s="164"/>
      <c r="R789" s="164"/>
    </row>
    <row r="790" spans="13:18" ht="15" customHeight="1" x14ac:dyDescent="1">
      <c r="M790" s="164"/>
      <c r="N790" s="164"/>
      <c r="O790" s="164"/>
      <c r="P790" s="164"/>
      <c r="Q790" s="164"/>
      <c r="R790" s="164"/>
    </row>
    <row r="791" spans="13:18" ht="15" customHeight="1" x14ac:dyDescent="1">
      <c r="M791" s="164"/>
      <c r="N791" s="164"/>
      <c r="O791" s="164"/>
      <c r="P791" s="164"/>
      <c r="Q791" s="164"/>
      <c r="R791" s="164"/>
    </row>
    <row r="792" spans="13:18" ht="15" customHeight="1" x14ac:dyDescent="1">
      <c r="M792" s="164"/>
      <c r="N792" s="164"/>
      <c r="O792" s="164"/>
      <c r="P792" s="164"/>
      <c r="Q792" s="164"/>
      <c r="R792" s="164"/>
    </row>
    <row r="793" spans="13:18" ht="15" customHeight="1" x14ac:dyDescent="1">
      <c r="M793" s="164"/>
      <c r="N793" s="164"/>
      <c r="O793" s="164"/>
      <c r="P793" s="164"/>
      <c r="Q793" s="164"/>
      <c r="R793" s="164"/>
    </row>
    <row r="794" spans="13:18" ht="15" customHeight="1" x14ac:dyDescent="1">
      <c r="M794" s="164"/>
      <c r="N794" s="164"/>
      <c r="O794" s="164"/>
      <c r="P794" s="164"/>
      <c r="Q794" s="164"/>
      <c r="R794" s="164"/>
    </row>
    <row r="795" spans="13:18" ht="15" customHeight="1" x14ac:dyDescent="1">
      <c r="M795" s="164"/>
      <c r="N795" s="164"/>
      <c r="O795" s="164"/>
      <c r="P795" s="164"/>
      <c r="Q795" s="164"/>
      <c r="R795" s="164"/>
    </row>
    <row r="796" spans="13:18" ht="15" customHeight="1" x14ac:dyDescent="1">
      <c r="M796" s="164"/>
      <c r="N796" s="164"/>
      <c r="O796" s="164"/>
      <c r="P796" s="164"/>
      <c r="Q796" s="164"/>
      <c r="R796" s="164"/>
    </row>
    <row r="797" spans="13:18" ht="15" customHeight="1" x14ac:dyDescent="1">
      <c r="M797" s="164"/>
      <c r="N797" s="164"/>
      <c r="O797" s="164"/>
      <c r="P797" s="164"/>
      <c r="Q797" s="164"/>
      <c r="R797" s="164"/>
    </row>
    <row r="798" spans="13:18" ht="15" customHeight="1" x14ac:dyDescent="1">
      <c r="M798" s="164"/>
      <c r="N798" s="164"/>
      <c r="O798" s="164"/>
      <c r="P798" s="164"/>
      <c r="Q798" s="164"/>
      <c r="R798" s="164"/>
    </row>
    <row r="799" spans="13:18" ht="15" customHeight="1" x14ac:dyDescent="1">
      <c r="M799" s="164"/>
      <c r="N799" s="164"/>
      <c r="O799" s="164"/>
      <c r="P799" s="164"/>
      <c r="Q799" s="164"/>
      <c r="R799" s="164"/>
    </row>
    <row r="800" spans="13:18" ht="15" customHeight="1" x14ac:dyDescent="1">
      <c r="M800" s="164"/>
      <c r="N800" s="164"/>
      <c r="O800" s="164"/>
      <c r="P800" s="164"/>
      <c r="Q800" s="164"/>
      <c r="R800" s="164"/>
    </row>
    <row r="801" spans="13:18" ht="15" customHeight="1" x14ac:dyDescent="1">
      <c r="M801" s="164"/>
      <c r="N801" s="164"/>
      <c r="O801" s="164"/>
      <c r="P801" s="164"/>
      <c r="Q801" s="164"/>
      <c r="R801" s="164"/>
    </row>
    <row r="802" spans="13:18" ht="15" customHeight="1" x14ac:dyDescent="1">
      <c r="M802" s="164"/>
      <c r="N802" s="164"/>
      <c r="O802" s="164"/>
      <c r="P802" s="164"/>
      <c r="Q802" s="164"/>
      <c r="R802" s="164"/>
    </row>
    <row r="803" spans="13:18" ht="15" customHeight="1" x14ac:dyDescent="1">
      <c r="M803" s="164"/>
      <c r="N803" s="164"/>
      <c r="O803" s="164"/>
      <c r="P803" s="164"/>
      <c r="Q803" s="164"/>
      <c r="R803" s="164"/>
    </row>
    <row r="804" spans="13:18" ht="15" customHeight="1" x14ac:dyDescent="1">
      <c r="M804" s="164"/>
      <c r="N804" s="164"/>
      <c r="O804" s="164"/>
      <c r="P804" s="164"/>
      <c r="Q804" s="164"/>
      <c r="R804" s="164"/>
    </row>
    <row r="805" spans="13:18" ht="15" customHeight="1" x14ac:dyDescent="1">
      <c r="M805" s="164"/>
      <c r="N805" s="164"/>
      <c r="O805" s="164"/>
      <c r="P805" s="164"/>
      <c r="Q805" s="164"/>
      <c r="R805" s="164"/>
    </row>
    <row r="806" spans="13:18" ht="15" customHeight="1" x14ac:dyDescent="1">
      <c r="M806" s="164"/>
      <c r="N806" s="164"/>
      <c r="O806" s="164"/>
      <c r="P806" s="164"/>
      <c r="Q806" s="164"/>
      <c r="R806" s="164"/>
    </row>
    <row r="807" spans="13:18" ht="15" customHeight="1" x14ac:dyDescent="1">
      <c r="M807" s="164"/>
      <c r="N807" s="164"/>
      <c r="O807" s="164"/>
      <c r="P807" s="164"/>
      <c r="Q807" s="164"/>
      <c r="R807" s="164"/>
    </row>
    <row r="808" spans="13:18" ht="15" customHeight="1" x14ac:dyDescent="1">
      <c r="M808" s="164"/>
      <c r="N808" s="164"/>
      <c r="O808" s="164"/>
      <c r="P808" s="164"/>
      <c r="Q808" s="164"/>
      <c r="R808" s="164"/>
    </row>
    <row r="809" spans="13:18" ht="15" customHeight="1" x14ac:dyDescent="1">
      <c r="M809" s="164"/>
      <c r="N809" s="164"/>
      <c r="O809" s="164"/>
      <c r="P809" s="164"/>
      <c r="Q809" s="164"/>
      <c r="R809" s="164"/>
    </row>
    <row r="810" spans="13:18" ht="15" customHeight="1" x14ac:dyDescent="1">
      <c r="M810" s="164"/>
      <c r="N810" s="164"/>
      <c r="O810" s="164"/>
      <c r="P810" s="164"/>
      <c r="Q810" s="164"/>
      <c r="R810" s="164"/>
    </row>
    <row r="811" spans="13:18" ht="15" customHeight="1" x14ac:dyDescent="1">
      <c r="M811" s="164"/>
      <c r="N811" s="164"/>
      <c r="O811" s="164"/>
      <c r="P811" s="164"/>
      <c r="Q811" s="164"/>
      <c r="R811" s="164"/>
    </row>
    <row r="812" spans="13:18" ht="15" customHeight="1" x14ac:dyDescent="1">
      <c r="M812" s="164"/>
      <c r="N812" s="164"/>
      <c r="O812" s="164"/>
      <c r="P812" s="164"/>
      <c r="Q812" s="164"/>
      <c r="R812" s="164"/>
    </row>
    <row r="813" spans="13:18" ht="15" customHeight="1" x14ac:dyDescent="1">
      <c r="M813" s="164"/>
      <c r="N813" s="164"/>
      <c r="O813" s="164"/>
      <c r="P813" s="164"/>
      <c r="Q813" s="164"/>
      <c r="R813" s="164"/>
    </row>
    <row r="814" spans="13:18" ht="15" customHeight="1" x14ac:dyDescent="1">
      <c r="M814" s="164"/>
      <c r="N814" s="164"/>
      <c r="O814" s="164"/>
      <c r="P814" s="164"/>
      <c r="Q814" s="164"/>
      <c r="R814" s="164"/>
    </row>
    <row r="815" spans="13:18" ht="15" customHeight="1" x14ac:dyDescent="1">
      <c r="M815" s="164"/>
      <c r="N815" s="164"/>
      <c r="O815" s="164"/>
      <c r="P815" s="164"/>
      <c r="Q815" s="164"/>
      <c r="R815" s="164"/>
    </row>
    <row r="816" spans="13:18" ht="15" customHeight="1" x14ac:dyDescent="1">
      <c r="M816" s="164"/>
      <c r="N816" s="164"/>
      <c r="O816" s="164"/>
      <c r="P816" s="164"/>
      <c r="Q816" s="164"/>
      <c r="R816" s="164"/>
    </row>
    <row r="817" spans="13:18" ht="15" customHeight="1" x14ac:dyDescent="1">
      <c r="M817" s="164"/>
      <c r="N817" s="164"/>
      <c r="O817" s="164"/>
      <c r="P817" s="164"/>
      <c r="Q817" s="164"/>
      <c r="R817" s="164"/>
    </row>
    <row r="818" spans="13:18" ht="15" customHeight="1" x14ac:dyDescent="1">
      <c r="M818" s="164"/>
      <c r="N818" s="164"/>
      <c r="O818" s="164"/>
      <c r="P818" s="164"/>
      <c r="Q818" s="164"/>
      <c r="R818" s="164"/>
    </row>
    <row r="819" spans="13:18" ht="15" customHeight="1" x14ac:dyDescent="1">
      <c r="M819" s="164"/>
      <c r="N819" s="164"/>
      <c r="O819" s="164"/>
      <c r="P819" s="164"/>
      <c r="Q819" s="164"/>
      <c r="R819" s="164"/>
    </row>
    <row r="820" spans="13:18" ht="15" customHeight="1" x14ac:dyDescent="1">
      <c r="M820" s="164"/>
      <c r="N820" s="164"/>
      <c r="O820" s="164"/>
      <c r="P820" s="164"/>
      <c r="Q820" s="164"/>
      <c r="R820" s="164"/>
    </row>
    <row r="821" spans="13:18" ht="15" customHeight="1" x14ac:dyDescent="1">
      <c r="M821" s="164"/>
      <c r="N821" s="164"/>
      <c r="O821" s="164"/>
      <c r="P821" s="164"/>
      <c r="Q821" s="164"/>
      <c r="R821" s="164"/>
    </row>
    <row r="822" spans="13:18" ht="15" customHeight="1" x14ac:dyDescent="1">
      <c r="M822" s="164"/>
      <c r="N822" s="164"/>
      <c r="O822" s="164"/>
      <c r="P822" s="164"/>
      <c r="Q822" s="164"/>
      <c r="R822" s="164"/>
    </row>
    <row r="823" spans="13:18" ht="15" customHeight="1" x14ac:dyDescent="1">
      <c r="M823" s="164"/>
      <c r="N823" s="164"/>
      <c r="O823" s="164"/>
      <c r="P823" s="164"/>
      <c r="Q823" s="164"/>
      <c r="R823" s="164"/>
    </row>
    <row r="824" spans="13:18" ht="15" customHeight="1" x14ac:dyDescent="1">
      <c r="M824" s="164"/>
      <c r="N824" s="164"/>
      <c r="O824" s="164"/>
      <c r="P824" s="164"/>
      <c r="Q824" s="164"/>
      <c r="R824" s="164"/>
    </row>
    <row r="825" spans="13:18" ht="15" customHeight="1" x14ac:dyDescent="1">
      <c r="M825" s="164"/>
      <c r="N825" s="164"/>
      <c r="O825" s="164"/>
      <c r="P825" s="164"/>
      <c r="Q825" s="164"/>
      <c r="R825" s="164"/>
    </row>
    <row r="826" spans="13:18" ht="15" customHeight="1" x14ac:dyDescent="1">
      <c r="M826" s="164"/>
      <c r="N826" s="164"/>
      <c r="O826" s="164"/>
      <c r="P826" s="164"/>
      <c r="Q826" s="164"/>
      <c r="R826" s="164"/>
    </row>
    <row r="827" spans="13:18" ht="15" customHeight="1" x14ac:dyDescent="1">
      <c r="M827" s="164"/>
      <c r="N827" s="164"/>
      <c r="O827" s="164"/>
      <c r="P827" s="164"/>
      <c r="Q827" s="164"/>
      <c r="R827" s="164"/>
    </row>
    <row r="828" spans="13:18" ht="15" customHeight="1" x14ac:dyDescent="1">
      <c r="M828" s="164"/>
      <c r="N828" s="164"/>
      <c r="O828" s="164"/>
      <c r="P828" s="164"/>
      <c r="Q828" s="164"/>
      <c r="R828" s="164"/>
    </row>
    <row r="829" spans="13:18" ht="15" customHeight="1" x14ac:dyDescent="1">
      <c r="M829" s="164"/>
      <c r="N829" s="164"/>
      <c r="O829" s="164"/>
      <c r="P829" s="164"/>
      <c r="Q829" s="164"/>
      <c r="R829" s="164"/>
    </row>
    <row r="830" spans="13:18" ht="15" customHeight="1" x14ac:dyDescent="1">
      <c r="M830" s="164"/>
      <c r="N830" s="164"/>
      <c r="O830" s="164"/>
      <c r="P830" s="164"/>
      <c r="Q830" s="164"/>
      <c r="R830" s="164"/>
    </row>
    <row r="831" spans="13:18" ht="15" customHeight="1" x14ac:dyDescent="1">
      <c r="M831" s="164"/>
      <c r="N831" s="164"/>
      <c r="O831" s="164"/>
      <c r="P831" s="164"/>
      <c r="Q831" s="164"/>
      <c r="R831" s="164"/>
    </row>
    <row r="832" spans="13:18" ht="15" customHeight="1" x14ac:dyDescent="1">
      <c r="M832" s="164"/>
      <c r="N832" s="164"/>
      <c r="O832" s="164"/>
      <c r="P832" s="164"/>
      <c r="Q832" s="164"/>
      <c r="R832" s="164"/>
    </row>
    <row r="833" spans="13:18" ht="15" customHeight="1" x14ac:dyDescent="1">
      <c r="M833" s="164"/>
      <c r="N833" s="164"/>
      <c r="O833" s="164"/>
      <c r="P833" s="164"/>
      <c r="Q833" s="164"/>
      <c r="R833" s="164"/>
    </row>
    <row r="834" spans="13:18" ht="15" customHeight="1" x14ac:dyDescent="1">
      <c r="M834" s="164"/>
      <c r="N834" s="164"/>
      <c r="O834" s="164"/>
      <c r="P834" s="164"/>
      <c r="Q834" s="164"/>
      <c r="R834" s="164"/>
    </row>
    <row r="835" spans="13:18" ht="15" customHeight="1" x14ac:dyDescent="1">
      <c r="M835" s="164"/>
      <c r="N835" s="164"/>
      <c r="O835" s="164"/>
      <c r="P835" s="164"/>
      <c r="Q835" s="164"/>
      <c r="R835" s="164"/>
    </row>
    <row r="836" spans="13:18" ht="15" customHeight="1" x14ac:dyDescent="1">
      <c r="M836" s="164"/>
      <c r="N836" s="164"/>
      <c r="O836" s="164"/>
      <c r="P836" s="164"/>
      <c r="Q836" s="164"/>
      <c r="R836" s="164"/>
    </row>
    <row r="837" spans="13:18" ht="15" customHeight="1" x14ac:dyDescent="1">
      <c r="M837" s="164"/>
      <c r="N837" s="164"/>
      <c r="O837" s="164"/>
      <c r="P837" s="164"/>
      <c r="Q837" s="164"/>
      <c r="R837" s="164"/>
    </row>
    <row r="838" spans="13:18" ht="15" customHeight="1" x14ac:dyDescent="1">
      <c r="M838" s="164"/>
      <c r="N838" s="164"/>
      <c r="O838" s="164"/>
      <c r="P838" s="164"/>
      <c r="Q838" s="164"/>
      <c r="R838" s="164"/>
    </row>
    <row r="839" spans="13:18" ht="15" customHeight="1" x14ac:dyDescent="1">
      <c r="M839" s="164"/>
      <c r="N839" s="164"/>
      <c r="O839" s="164"/>
      <c r="P839" s="164"/>
      <c r="Q839" s="164"/>
      <c r="R839" s="164"/>
    </row>
    <row r="840" spans="13:18" ht="15" customHeight="1" x14ac:dyDescent="1">
      <c r="M840" s="164"/>
      <c r="N840" s="164"/>
      <c r="O840" s="164"/>
      <c r="P840" s="164"/>
      <c r="Q840" s="164"/>
      <c r="R840" s="164"/>
    </row>
    <row r="841" spans="13:18" ht="15" customHeight="1" x14ac:dyDescent="1">
      <c r="M841" s="164"/>
      <c r="N841" s="164"/>
      <c r="O841" s="164"/>
      <c r="P841" s="164"/>
      <c r="Q841" s="164"/>
      <c r="R841" s="164"/>
    </row>
    <row r="842" spans="13:18" ht="15" customHeight="1" x14ac:dyDescent="1">
      <c r="M842" s="164"/>
      <c r="N842" s="164"/>
      <c r="O842" s="164"/>
      <c r="P842" s="164"/>
      <c r="Q842" s="164"/>
      <c r="R842" s="164"/>
    </row>
    <row r="844" spans="13:18" ht="15" customHeight="1" x14ac:dyDescent="1">
      <c r="M844" s="162"/>
      <c r="N844" s="162"/>
    </row>
    <row r="845" spans="13:18" ht="15" customHeight="1" x14ac:dyDescent="1">
      <c r="M845" s="163"/>
      <c r="N845" s="163"/>
      <c r="O845" s="163"/>
      <c r="P845" s="163"/>
      <c r="Q845" s="163"/>
      <c r="R845" s="163"/>
    </row>
    <row r="846" spans="13:18" ht="15" customHeight="1" x14ac:dyDescent="1">
      <c r="M846" s="164"/>
      <c r="N846" s="164"/>
      <c r="O846" s="164"/>
      <c r="P846" s="164"/>
      <c r="Q846" s="164"/>
      <c r="R846" s="164"/>
    </row>
    <row r="847" spans="13:18" ht="15" customHeight="1" x14ac:dyDescent="1">
      <c r="M847" s="164"/>
      <c r="N847" s="164"/>
      <c r="O847" s="164"/>
      <c r="P847" s="164"/>
      <c r="Q847" s="164"/>
      <c r="R847" s="164"/>
    </row>
    <row r="848" spans="13:18" ht="15" customHeight="1" x14ac:dyDescent="1">
      <c r="M848" s="164"/>
      <c r="N848" s="164"/>
      <c r="O848" s="164"/>
      <c r="P848" s="164"/>
      <c r="Q848" s="164"/>
      <c r="R848" s="164"/>
    </row>
    <row r="849" spans="13:18" ht="15" customHeight="1" x14ac:dyDescent="1">
      <c r="M849" s="164"/>
      <c r="N849" s="164"/>
      <c r="O849" s="164"/>
      <c r="P849" s="164"/>
      <c r="Q849" s="164"/>
      <c r="R849" s="164"/>
    </row>
    <row r="850" spans="13:18" ht="15" customHeight="1" x14ac:dyDescent="1">
      <c r="M850" s="164"/>
      <c r="N850" s="164"/>
      <c r="O850" s="164"/>
      <c r="P850" s="164"/>
      <c r="Q850" s="164"/>
      <c r="R850" s="164"/>
    </row>
    <row r="851" spans="13:18" ht="15" customHeight="1" x14ac:dyDescent="1">
      <c r="M851" s="164"/>
      <c r="N851" s="164"/>
      <c r="O851" s="164"/>
      <c r="P851" s="164"/>
      <c r="Q851" s="164"/>
      <c r="R851" s="164"/>
    </row>
    <row r="852" spans="13:18" ht="15" customHeight="1" x14ac:dyDescent="1">
      <c r="M852" s="164"/>
      <c r="N852" s="164"/>
      <c r="O852" s="164"/>
      <c r="P852" s="164"/>
      <c r="Q852" s="164"/>
      <c r="R852" s="164"/>
    </row>
    <row r="853" spans="13:18" ht="15" customHeight="1" x14ac:dyDescent="1">
      <c r="M853" s="164"/>
      <c r="N853" s="164"/>
      <c r="O853" s="164"/>
      <c r="P853" s="164"/>
      <c r="Q853" s="164"/>
      <c r="R853" s="164"/>
    </row>
    <row r="854" spans="13:18" ht="15" customHeight="1" x14ac:dyDescent="1">
      <c r="M854" s="164"/>
      <c r="N854" s="164"/>
      <c r="O854" s="164"/>
      <c r="P854" s="164"/>
      <c r="Q854" s="164"/>
      <c r="R854" s="164"/>
    </row>
    <row r="855" spans="13:18" ht="15" customHeight="1" x14ac:dyDescent="1">
      <c r="M855" s="164"/>
      <c r="N855" s="164"/>
      <c r="O855" s="164"/>
      <c r="P855" s="164"/>
      <c r="Q855" s="164"/>
      <c r="R855" s="164"/>
    </row>
    <row r="856" spans="13:18" ht="15" customHeight="1" x14ac:dyDescent="1">
      <c r="M856" s="164"/>
      <c r="N856" s="164"/>
      <c r="O856" s="164"/>
      <c r="P856" s="164"/>
      <c r="Q856" s="164"/>
      <c r="R856" s="164"/>
    </row>
    <row r="857" spans="13:18" ht="15" customHeight="1" x14ac:dyDescent="1">
      <c r="M857" s="164"/>
      <c r="N857" s="164"/>
      <c r="O857" s="164"/>
      <c r="P857" s="164"/>
      <c r="Q857" s="164"/>
      <c r="R857" s="164"/>
    </row>
    <row r="858" spans="13:18" ht="15" customHeight="1" x14ac:dyDescent="1">
      <c r="M858" s="164"/>
      <c r="N858" s="164"/>
      <c r="O858" s="164"/>
      <c r="P858" s="164"/>
      <c r="Q858" s="164"/>
      <c r="R858" s="164"/>
    </row>
    <row r="859" spans="13:18" ht="15" customHeight="1" x14ac:dyDescent="1">
      <c r="M859" s="164"/>
      <c r="N859" s="164"/>
      <c r="O859" s="164"/>
      <c r="P859" s="164"/>
      <c r="Q859" s="164"/>
      <c r="R859" s="164"/>
    </row>
    <row r="860" spans="13:18" ht="15" customHeight="1" x14ac:dyDescent="1">
      <c r="M860" s="164"/>
      <c r="N860" s="164"/>
      <c r="O860" s="164"/>
      <c r="P860" s="164"/>
      <c r="Q860" s="164"/>
      <c r="R860" s="164"/>
    </row>
    <row r="862" spans="13:18" ht="15" customHeight="1" x14ac:dyDescent="1">
      <c r="M862" s="162"/>
      <c r="N862" s="162"/>
    </row>
    <row r="863" spans="13:18" ht="15" customHeight="1" x14ac:dyDescent="1">
      <c r="M863" s="163"/>
      <c r="N863" s="163"/>
      <c r="O863" s="163"/>
      <c r="P863" s="163"/>
      <c r="Q863" s="163"/>
      <c r="R863" s="163"/>
    </row>
    <row r="864" spans="13:18" ht="15" customHeight="1" x14ac:dyDescent="1">
      <c r="M864" s="164"/>
      <c r="N864" s="164"/>
      <c r="O864" s="164"/>
      <c r="P864" s="164"/>
      <c r="Q864" s="164"/>
      <c r="R864" s="164"/>
    </row>
    <row r="865" spans="13:18" ht="15" customHeight="1" x14ac:dyDescent="1">
      <c r="M865" s="164"/>
      <c r="N865" s="164"/>
      <c r="O865" s="164"/>
      <c r="P865" s="164"/>
      <c r="Q865" s="164"/>
      <c r="R865" s="164"/>
    </row>
    <row r="866" spans="13:18" ht="15" customHeight="1" x14ac:dyDescent="1">
      <c r="M866" s="164"/>
      <c r="N866" s="164"/>
      <c r="O866" s="164"/>
      <c r="P866" s="164"/>
      <c r="Q866" s="164"/>
      <c r="R866" s="164"/>
    </row>
    <row r="867" spans="13:18" ht="15" customHeight="1" x14ac:dyDescent="1">
      <c r="M867" s="164"/>
      <c r="N867" s="164"/>
      <c r="O867" s="164"/>
      <c r="P867" s="164"/>
      <c r="Q867" s="164"/>
      <c r="R867" s="164"/>
    </row>
    <row r="868" spans="13:18" ht="15" customHeight="1" x14ac:dyDescent="1">
      <c r="M868" s="164"/>
      <c r="N868" s="164"/>
      <c r="O868" s="164"/>
      <c r="P868" s="164"/>
      <c r="Q868" s="164"/>
      <c r="R868" s="164"/>
    </row>
    <row r="869" spans="13:18" ht="15" customHeight="1" x14ac:dyDescent="1">
      <c r="M869" s="164"/>
      <c r="N869" s="164"/>
      <c r="O869" s="164"/>
      <c r="P869" s="164"/>
      <c r="Q869" s="164"/>
      <c r="R869" s="164"/>
    </row>
    <row r="870" spans="13:18" ht="15" customHeight="1" x14ac:dyDescent="1">
      <c r="M870" s="164"/>
      <c r="N870" s="164"/>
      <c r="O870" s="164"/>
      <c r="P870" s="164"/>
      <c r="Q870" s="164"/>
      <c r="R870" s="164"/>
    </row>
    <row r="871" spans="13:18" ht="15" customHeight="1" x14ac:dyDescent="1">
      <c r="M871" s="164"/>
      <c r="N871" s="164"/>
      <c r="O871" s="164"/>
      <c r="P871" s="164"/>
      <c r="Q871" s="164"/>
      <c r="R871" s="164"/>
    </row>
    <row r="872" spans="13:18" ht="15" customHeight="1" x14ac:dyDescent="1">
      <c r="M872" s="164"/>
      <c r="N872" s="164"/>
      <c r="O872" s="164"/>
      <c r="P872" s="164"/>
      <c r="Q872" s="164"/>
      <c r="R872" s="164"/>
    </row>
    <row r="873" spans="13:18" ht="15" customHeight="1" x14ac:dyDescent="1">
      <c r="M873" s="164"/>
      <c r="N873" s="164"/>
      <c r="O873" s="164"/>
      <c r="P873" s="164"/>
      <c r="Q873" s="164"/>
      <c r="R873" s="164"/>
    </row>
    <row r="874" spans="13:18" ht="15" customHeight="1" x14ac:dyDescent="1">
      <c r="M874" s="164"/>
      <c r="N874" s="164"/>
      <c r="O874" s="164"/>
      <c r="P874" s="164"/>
      <c r="Q874" s="164"/>
      <c r="R874" s="164"/>
    </row>
    <row r="875" spans="13:18" ht="15" customHeight="1" x14ac:dyDescent="1">
      <c r="M875" s="164"/>
      <c r="N875" s="164"/>
      <c r="O875" s="164"/>
      <c r="P875" s="164"/>
      <c r="Q875" s="164"/>
      <c r="R875" s="164"/>
    </row>
    <row r="876" spans="13:18" ht="15" customHeight="1" x14ac:dyDescent="1">
      <c r="M876" s="164"/>
      <c r="N876" s="164"/>
      <c r="O876" s="164"/>
      <c r="P876" s="164"/>
      <c r="Q876" s="164"/>
      <c r="R876" s="164"/>
    </row>
    <row r="877" spans="13:18" ht="15" customHeight="1" x14ac:dyDescent="1">
      <c r="M877" s="164"/>
      <c r="N877" s="164"/>
      <c r="O877" s="164"/>
      <c r="P877" s="164"/>
      <c r="Q877" s="164"/>
      <c r="R877" s="164"/>
    </row>
    <row r="878" spans="13:18" ht="15" customHeight="1" x14ac:dyDescent="1">
      <c r="M878" s="164"/>
      <c r="N878" s="164"/>
      <c r="O878" s="164"/>
      <c r="P878" s="164"/>
      <c r="Q878" s="164"/>
      <c r="R878" s="164"/>
    </row>
    <row r="879" spans="13:18" ht="15" customHeight="1" x14ac:dyDescent="1">
      <c r="M879" s="164"/>
      <c r="N879" s="164"/>
      <c r="O879" s="164"/>
      <c r="P879" s="164"/>
      <c r="Q879" s="164"/>
      <c r="R879" s="164"/>
    </row>
    <row r="880" spans="13:18" ht="15" customHeight="1" x14ac:dyDescent="1">
      <c r="M880" s="164"/>
      <c r="N880" s="164"/>
      <c r="O880" s="164"/>
      <c r="P880" s="164"/>
      <c r="Q880" s="164"/>
      <c r="R880" s="164"/>
    </row>
    <row r="881" spans="13:18" ht="15" customHeight="1" x14ac:dyDescent="1">
      <c r="M881" s="164"/>
      <c r="N881" s="164"/>
      <c r="O881" s="164"/>
      <c r="P881" s="164"/>
      <c r="Q881" s="164"/>
      <c r="R881" s="164"/>
    </row>
    <row r="882" spans="13:18" ht="15" customHeight="1" x14ac:dyDescent="1">
      <c r="M882" s="164"/>
      <c r="N882" s="164"/>
      <c r="O882" s="164"/>
      <c r="P882" s="164"/>
      <c r="Q882" s="164"/>
      <c r="R882" s="164"/>
    </row>
    <row r="883" spans="13:18" ht="15" customHeight="1" x14ac:dyDescent="1">
      <c r="M883" s="164"/>
      <c r="N883" s="164"/>
      <c r="O883" s="164"/>
      <c r="P883" s="164"/>
      <c r="Q883" s="164"/>
      <c r="R883" s="164"/>
    </row>
    <row r="884" spans="13:18" ht="15" customHeight="1" x14ac:dyDescent="1">
      <c r="M884" s="164"/>
      <c r="N884" s="164"/>
      <c r="O884" s="164"/>
      <c r="P884" s="164"/>
      <c r="Q884" s="164"/>
      <c r="R884" s="164"/>
    </row>
    <row r="885" spans="13:18" ht="15" customHeight="1" x14ac:dyDescent="1">
      <c r="M885" s="164"/>
      <c r="N885" s="164"/>
      <c r="O885" s="164"/>
      <c r="P885" s="164"/>
      <c r="Q885" s="164"/>
      <c r="R885" s="164"/>
    </row>
    <row r="886" spans="13:18" ht="15" customHeight="1" x14ac:dyDescent="1">
      <c r="M886" s="164"/>
      <c r="N886" s="164"/>
      <c r="O886" s="164"/>
      <c r="P886" s="164"/>
      <c r="Q886" s="164"/>
      <c r="R886" s="164"/>
    </row>
    <row r="887" spans="13:18" ht="15" customHeight="1" x14ac:dyDescent="1">
      <c r="M887" s="164"/>
      <c r="N887" s="164"/>
      <c r="O887" s="164"/>
      <c r="P887" s="164"/>
      <c r="Q887" s="164"/>
      <c r="R887" s="164"/>
    </row>
    <row r="888" spans="13:18" ht="15" customHeight="1" x14ac:dyDescent="1">
      <c r="M888" s="164"/>
      <c r="N888" s="164"/>
      <c r="O888" s="164"/>
      <c r="P888" s="164"/>
      <c r="Q888" s="164"/>
      <c r="R888" s="164"/>
    </row>
    <row r="890" spans="13:18" ht="15" customHeight="1" x14ac:dyDescent="1">
      <c r="M890" s="162"/>
      <c r="N890" s="162"/>
    </row>
    <row r="891" spans="13:18" ht="15" customHeight="1" x14ac:dyDescent="1">
      <c r="M891" s="163"/>
      <c r="N891" s="163"/>
      <c r="O891" s="163"/>
      <c r="P891" s="163"/>
      <c r="Q891" s="163"/>
      <c r="R891" s="163"/>
    </row>
    <row r="892" spans="13:18" ht="15" customHeight="1" x14ac:dyDescent="1">
      <c r="M892" s="164"/>
      <c r="N892" s="164"/>
      <c r="O892" s="164"/>
      <c r="P892" s="164"/>
      <c r="Q892" s="164"/>
      <c r="R892" s="164"/>
    </row>
    <row r="893" spans="13:18" ht="15" customHeight="1" x14ac:dyDescent="1">
      <c r="M893" s="164"/>
      <c r="N893" s="164"/>
      <c r="O893" s="164"/>
      <c r="P893" s="164"/>
      <c r="Q893" s="164"/>
      <c r="R893" s="164"/>
    </row>
    <row r="894" spans="13:18" ht="15" customHeight="1" x14ac:dyDescent="1">
      <c r="M894" s="164"/>
      <c r="N894" s="164"/>
      <c r="O894" s="164"/>
      <c r="P894" s="164"/>
      <c r="Q894" s="164"/>
      <c r="R894" s="164"/>
    </row>
    <row r="895" spans="13:18" ht="15" customHeight="1" x14ac:dyDescent="1">
      <c r="M895" s="164"/>
      <c r="N895" s="164"/>
      <c r="O895" s="164"/>
      <c r="P895" s="164"/>
      <c r="Q895" s="164"/>
      <c r="R895" s="164"/>
    </row>
    <row r="896" spans="13:18" ht="15" customHeight="1" x14ac:dyDescent="1">
      <c r="M896" s="164"/>
      <c r="N896" s="164"/>
      <c r="O896" s="164"/>
      <c r="P896" s="164"/>
      <c r="Q896" s="164"/>
      <c r="R896" s="164"/>
    </row>
    <row r="897" spans="13:18" ht="15" customHeight="1" x14ac:dyDescent="1">
      <c r="M897" s="164"/>
      <c r="N897" s="164"/>
      <c r="O897" s="164"/>
      <c r="P897" s="164"/>
      <c r="Q897" s="164"/>
      <c r="R897" s="164"/>
    </row>
    <row r="898" spans="13:18" ht="15" customHeight="1" x14ac:dyDescent="1">
      <c r="M898" s="164"/>
      <c r="N898" s="164"/>
      <c r="O898" s="164"/>
      <c r="P898" s="164"/>
      <c r="Q898" s="164"/>
      <c r="R898" s="164"/>
    </row>
    <row r="899" spans="13:18" ht="15" customHeight="1" x14ac:dyDescent="1">
      <c r="M899" s="164"/>
      <c r="N899" s="164"/>
      <c r="O899" s="164"/>
      <c r="P899" s="164"/>
      <c r="Q899" s="164"/>
      <c r="R899" s="164"/>
    </row>
    <row r="900" spans="13:18" ht="15" customHeight="1" x14ac:dyDescent="1">
      <c r="M900" s="164"/>
      <c r="N900" s="164"/>
      <c r="O900" s="164"/>
      <c r="P900" s="164"/>
      <c r="Q900" s="164"/>
      <c r="R900" s="164"/>
    </row>
    <row r="901" spans="13:18" ht="15" customHeight="1" x14ac:dyDescent="1">
      <c r="M901" s="164"/>
      <c r="N901" s="164"/>
      <c r="O901" s="164"/>
      <c r="P901" s="164"/>
      <c r="Q901" s="164"/>
      <c r="R901" s="164"/>
    </row>
    <row r="902" spans="13:18" ht="15" customHeight="1" x14ac:dyDescent="1">
      <c r="M902" s="164"/>
      <c r="N902" s="164"/>
      <c r="O902" s="164"/>
      <c r="P902" s="164"/>
      <c r="Q902" s="164"/>
      <c r="R902" s="164"/>
    </row>
    <row r="903" spans="13:18" ht="15" customHeight="1" x14ac:dyDescent="1">
      <c r="M903" s="164"/>
      <c r="N903" s="164"/>
      <c r="O903" s="164"/>
      <c r="P903" s="164"/>
      <c r="Q903" s="164"/>
      <c r="R903" s="164"/>
    </row>
    <row r="904" spans="13:18" ht="15" customHeight="1" x14ac:dyDescent="1">
      <c r="M904" s="164"/>
      <c r="N904" s="164"/>
      <c r="O904" s="164"/>
      <c r="P904" s="164"/>
      <c r="Q904" s="164"/>
      <c r="R904" s="164"/>
    </row>
    <row r="905" spans="13:18" ht="15" customHeight="1" x14ac:dyDescent="1">
      <c r="M905" s="164"/>
      <c r="N905" s="164"/>
      <c r="O905" s="164"/>
      <c r="P905" s="164"/>
      <c r="Q905" s="164"/>
      <c r="R905" s="164"/>
    </row>
    <row r="906" spans="13:18" ht="15" customHeight="1" x14ac:dyDescent="1">
      <c r="M906" s="164"/>
      <c r="N906" s="164"/>
      <c r="O906" s="164"/>
      <c r="P906" s="164"/>
      <c r="Q906" s="164"/>
      <c r="R906" s="164"/>
    </row>
    <row r="907" spans="13:18" ht="15" customHeight="1" x14ac:dyDescent="1">
      <c r="M907" s="164"/>
      <c r="N907" s="164"/>
      <c r="O907" s="164"/>
      <c r="P907" s="164"/>
      <c r="Q907" s="164"/>
      <c r="R907" s="164"/>
    </row>
    <row r="908" spans="13:18" ht="15" customHeight="1" x14ac:dyDescent="1">
      <c r="M908" s="164"/>
      <c r="N908" s="164"/>
      <c r="O908" s="164"/>
      <c r="P908" s="164"/>
      <c r="Q908" s="164"/>
      <c r="R908" s="164"/>
    </row>
    <row r="909" spans="13:18" ht="15" customHeight="1" x14ac:dyDescent="1">
      <c r="M909" s="164"/>
      <c r="N909" s="164"/>
      <c r="O909" s="164"/>
      <c r="P909" s="164"/>
      <c r="Q909" s="164"/>
      <c r="R909" s="164"/>
    </row>
    <row r="910" spans="13:18" ht="15" customHeight="1" x14ac:dyDescent="1">
      <c r="M910" s="164"/>
      <c r="N910" s="164"/>
      <c r="O910" s="164"/>
      <c r="P910" s="164"/>
      <c r="Q910" s="164"/>
      <c r="R910" s="164"/>
    </row>
    <row r="911" spans="13:18" ht="15" customHeight="1" x14ac:dyDescent="1">
      <c r="M911" s="164"/>
      <c r="N911" s="164"/>
      <c r="O911" s="164"/>
      <c r="P911" s="164"/>
      <c r="Q911" s="164"/>
      <c r="R911" s="164"/>
    </row>
    <row r="912" spans="13:18" ht="15" customHeight="1" x14ac:dyDescent="1">
      <c r="M912" s="164"/>
      <c r="N912" s="164"/>
      <c r="O912" s="164"/>
      <c r="P912" s="164"/>
      <c r="Q912" s="164"/>
      <c r="R912" s="164"/>
    </row>
    <row r="913" spans="13:18" ht="15" customHeight="1" x14ac:dyDescent="1">
      <c r="M913" s="164"/>
      <c r="N913" s="164"/>
      <c r="O913" s="164"/>
      <c r="P913" s="164"/>
      <c r="Q913" s="164"/>
      <c r="R913" s="164"/>
    </row>
    <row r="914" spans="13:18" ht="15" customHeight="1" x14ac:dyDescent="1">
      <c r="M914" s="164"/>
      <c r="N914" s="164"/>
      <c r="O914" s="164"/>
      <c r="P914" s="164"/>
      <c r="Q914" s="164"/>
      <c r="R914" s="164"/>
    </row>
    <row r="915" spans="13:18" ht="15" customHeight="1" x14ac:dyDescent="1">
      <c r="M915" s="164"/>
      <c r="N915" s="164"/>
      <c r="O915" s="164"/>
      <c r="P915" s="164"/>
      <c r="Q915" s="164"/>
      <c r="R915" s="164"/>
    </row>
    <row r="916" spans="13:18" ht="15" customHeight="1" x14ac:dyDescent="1">
      <c r="M916" s="164"/>
      <c r="N916" s="164"/>
      <c r="O916" s="164"/>
      <c r="P916" s="164"/>
      <c r="Q916" s="164"/>
      <c r="R916" s="164"/>
    </row>
    <row r="917" spans="13:18" ht="15" customHeight="1" x14ac:dyDescent="1">
      <c r="M917" s="164"/>
      <c r="N917" s="164"/>
      <c r="O917" s="164"/>
      <c r="P917" s="164"/>
      <c r="Q917" s="164"/>
      <c r="R917" s="164"/>
    </row>
    <row r="918" spans="13:18" ht="15" customHeight="1" x14ac:dyDescent="1">
      <c r="M918" s="164"/>
      <c r="N918" s="164"/>
      <c r="O918" s="164"/>
      <c r="P918" s="164"/>
      <c r="Q918" s="164"/>
      <c r="R918" s="164"/>
    </row>
    <row r="919" spans="13:18" ht="15" customHeight="1" x14ac:dyDescent="1">
      <c r="M919" s="164"/>
      <c r="N919" s="164"/>
      <c r="O919" s="164"/>
      <c r="P919" s="164"/>
      <c r="Q919" s="164"/>
      <c r="R919" s="164"/>
    </row>
    <row r="920" spans="13:18" ht="15" customHeight="1" x14ac:dyDescent="1">
      <c r="M920" s="164"/>
      <c r="N920" s="164"/>
      <c r="O920" s="164"/>
      <c r="P920" s="164"/>
      <c r="Q920" s="164"/>
      <c r="R920" s="164"/>
    </row>
    <row r="921" spans="13:18" ht="15" customHeight="1" x14ac:dyDescent="1">
      <c r="M921" s="164"/>
      <c r="N921" s="164"/>
      <c r="O921" s="164"/>
      <c r="P921" s="164"/>
      <c r="Q921" s="164"/>
      <c r="R921" s="164"/>
    </row>
    <row r="922" spans="13:18" ht="15" customHeight="1" x14ac:dyDescent="1">
      <c r="M922" s="164"/>
      <c r="N922" s="164"/>
      <c r="O922" s="164"/>
      <c r="P922" s="164"/>
      <c r="Q922" s="164"/>
      <c r="R922" s="164"/>
    </row>
    <row r="923" spans="13:18" ht="15" customHeight="1" x14ac:dyDescent="1">
      <c r="M923" s="164"/>
      <c r="N923" s="164"/>
      <c r="O923" s="164"/>
      <c r="P923" s="164"/>
      <c r="Q923" s="164"/>
      <c r="R923" s="164"/>
    </row>
    <row r="924" spans="13:18" ht="15" customHeight="1" x14ac:dyDescent="1">
      <c r="M924" s="164"/>
      <c r="N924" s="164"/>
      <c r="O924" s="164"/>
      <c r="P924" s="164"/>
      <c r="Q924" s="164"/>
      <c r="R924" s="164"/>
    </row>
    <row r="925" spans="13:18" ht="15" customHeight="1" x14ac:dyDescent="1">
      <c r="M925" s="164"/>
      <c r="N925" s="164"/>
      <c r="O925" s="164"/>
      <c r="P925" s="164"/>
      <c r="Q925" s="164"/>
      <c r="R925" s="164"/>
    </row>
    <row r="926" spans="13:18" ht="15" customHeight="1" x14ac:dyDescent="1">
      <c r="M926" s="164"/>
      <c r="N926" s="164"/>
      <c r="O926" s="164"/>
      <c r="P926" s="164"/>
      <c r="Q926" s="164"/>
      <c r="R926" s="164"/>
    </row>
    <row r="927" spans="13:18" ht="15" customHeight="1" x14ac:dyDescent="1">
      <c r="M927" s="164"/>
      <c r="N927" s="164"/>
      <c r="O927" s="164"/>
      <c r="P927" s="164"/>
      <c r="Q927" s="164"/>
      <c r="R927" s="164"/>
    </row>
    <row r="928" spans="13:18" ht="15" customHeight="1" x14ac:dyDescent="1">
      <c r="M928" s="164"/>
      <c r="N928" s="164"/>
      <c r="O928" s="164"/>
      <c r="P928" s="164"/>
      <c r="Q928" s="164"/>
      <c r="R928" s="164"/>
    </row>
    <row r="929" spans="13:18" ht="15" customHeight="1" x14ac:dyDescent="1">
      <c r="M929" s="164"/>
      <c r="N929" s="164"/>
      <c r="O929" s="164"/>
      <c r="P929" s="164"/>
      <c r="Q929" s="164"/>
      <c r="R929" s="164"/>
    </row>
    <row r="930" spans="13:18" ht="15" customHeight="1" x14ac:dyDescent="1">
      <c r="M930" s="164"/>
      <c r="N930" s="164"/>
      <c r="O930" s="164"/>
      <c r="P930" s="164"/>
      <c r="Q930" s="164"/>
      <c r="R930" s="164"/>
    </row>
    <row r="931" spans="13:18" ht="15" customHeight="1" x14ac:dyDescent="1">
      <c r="M931" s="164"/>
      <c r="N931" s="164"/>
      <c r="O931" s="164"/>
      <c r="P931" s="164"/>
      <c r="Q931" s="164"/>
      <c r="R931" s="164"/>
    </row>
    <row r="932" spans="13:18" ht="15" customHeight="1" x14ac:dyDescent="1">
      <c r="M932" s="164"/>
      <c r="N932" s="164"/>
      <c r="O932" s="164"/>
      <c r="P932" s="164"/>
      <c r="Q932" s="164"/>
      <c r="R932" s="164"/>
    </row>
    <row r="933" spans="13:18" ht="15" customHeight="1" x14ac:dyDescent="1">
      <c r="M933" s="164"/>
      <c r="N933" s="164"/>
      <c r="O933" s="164"/>
      <c r="P933" s="164"/>
      <c r="Q933" s="164"/>
      <c r="R933" s="164"/>
    </row>
    <row r="934" spans="13:18" ht="15" customHeight="1" x14ac:dyDescent="1">
      <c r="M934" s="164"/>
      <c r="N934" s="164"/>
      <c r="O934" s="164"/>
      <c r="P934" s="164"/>
      <c r="Q934" s="164"/>
      <c r="R934" s="164"/>
    </row>
    <row r="935" spans="13:18" ht="15" customHeight="1" x14ac:dyDescent="1">
      <c r="M935" s="164"/>
      <c r="N935" s="164"/>
      <c r="O935" s="164"/>
      <c r="P935" s="164"/>
      <c r="Q935" s="164"/>
      <c r="R935" s="164"/>
    </row>
    <row r="936" spans="13:18" ht="15" customHeight="1" x14ac:dyDescent="1">
      <c r="M936" s="164"/>
      <c r="N936" s="164"/>
      <c r="O936" s="164"/>
      <c r="P936" s="164"/>
      <c r="Q936" s="164"/>
      <c r="R936" s="164"/>
    </row>
    <row r="937" spans="13:18" ht="15" customHeight="1" x14ac:dyDescent="1">
      <c r="M937" s="164"/>
      <c r="N937" s="164"/>
      <c r="O937" s="164"/>
      <c r="P937" s="164"/>
      <c r="Q937" s="164"/>
      <c r="R937" s="164"/>
    </row>
    <row r="938" spans="13:18" ht="15" customHeight="1" x14ac:dyDescent="1">
      <c r="M938" s="164"/>
      <c r="N938" s="164"/>
      <c r="O938" s="164"/>
      <c r="P938" s="164"/>
      <c r="Q938" s="164"/>
      <c r="R938" s="164"/>
    </row>
    <row r="939" spans="13:18" ht="15" customHeight="1" x14ac:dyDescent="1">
      <c r="M939" s="164"/>
      <c r="N939" s="164"/>
      <c r="O939" s="164"/>
      <c r="P939" s="164"/>
      <c r="Q939" s="164"/>
      <c r="R939" s="164"/>
    </row>
    <row r="940" spans="13:18" ht="15" customHeight="1" x14ac:dyDescent="1">
      <c r="M940" s="164"/>
      <c r="N940" s="164"/>
      <c r="O940" s="164"/>
      <c r="P940" s="164"/>
      <c r="Q940" s="164"/>
      <c r="R940" s="164"/>
    </row>
    <row r="941" spans="13:18" ht="15" customHeight="1" x14ac:dyDescent="1">
      <c r="M941" s="164"/>
      <c r="N941" s="164"/>
      <c r="O941" s="164"/>
      <c r="P941" s="164"/>
      <c r="Q941" s="164"/>
      <c r="R941" s="164"/>
    </row>
    <row r="942" spans="13:18" ht="15" customHeight="1" x14ac:dyDescent="1">
      <c r="M942" s="164"/>
      <c r="N942" s="164"/>
      <c r="O942" s="164"/>
      <c r="P942" s="164"/>
      <c r="Q942" s="164"/>
      <c r="R942" s="164"/>
    </row>
    <row r="943" spans="13:18" ht="15" customHeight="1" x14ac:dyDescent="1">
      <c r="M943" s="164"/>
      <c r="N943" s="164"/>
      <c r="O943" s="164"/>
      <c r="P943" s="164"/>
      <c r="Q943" s="164"/>
      <c r="R943" s="164"/>
    </row>
    <row r="945" spans="13:18" ht="15" customHeight="1" x14ac:dyDescent="1">
      <c r="M945" s="162"/>
      <c r="N945" s="162"/>
    </row>
    <row r="946" spans="13:18" ht="15" customHeight="1" x14ac:dyDescent="1">
      <c r="M946" s="163"/>
      <c r="N946" s="163"/>
      <c r="O946" s="163"/>
      <c r="P946" s="163"/>
      <c r="Q946" s="163"/>
      <c r="R946" s="163"/>
    </row>
    <row r="947" spans="13:18" ht="15" customHeight="1" x14ac:dyDescent="1">
      <c r="M947" s="164"/>
      <c r="N947" s="164"/>
      <c r="O947" s="164"/>
      <c r="P947" s="164"/>
      <c r="Q947" s="164"/>
      <c r="R947" s="164"/>
    </row>
    <row r="948" spans="13:18" ht="15" customHeight="1" x14ac:dyDescent="1">
      <c r="M948" s="164"/>
      <c r="N948" s="164"/>
      <c r="O948" s="164"/>
      <c r="P948" s="164"/>
      <c r="Q948" s="164"/>
      <c r="R948" s="164"/>
    </row>
    <row r="949" spans="13:18" ht="15" customHeight="1" x14ac:dyDescent="1">
      <c r="M949" s="164"/>
      <c r="N949" s="164"/>
      <c r="O949" s="164"/>
      <c r="P949" s="164"/>
      <c r="Q949" s="164"/>
      <c r="R949" s="164"/>
    </row>
    <row r="950" spans="13:18" ht="15" customHeight="1" x14ac:dyDescent="1">
      <c r="M950" s="164"/>
      <c r="N950" s="164"/>
      <c r="O950" s="164"/>
      <c r="P950" s="164"/>
      <c r="Q950" s="164"/>
      <c r="R950" s="164"/>
    </row>
    <row r="951" spans="13:18" ht="15" customHeight="1" x14ac:dyDescent="1">
      <c r="M951" s="164"/>
      <c r="N951" s="164"/>
      <c r="O951" s="164"/>
      <c r="P951" s="164"/>
      <c r="Q951" s="164"/>
      <c r="R951" s="164"/>
    </row>
    <row r="952" spans="13:18" ht="15" customHeight="1" x14ac:dyDescent="1">
      <c r="M952" s="164"/>
      <c r="N952" s="164"/>
      <c r="O952" s="164"/>
      <c r="P952" s="164"/>
      <c r="Q952" s="164"/>
      <c r="R952" s="164"/>
    </row>
    <row r="953" spans="13:18" ht="15" customHeight="1" x14ac:dyDescent="1">
      <c r="M953" s="164"/>
      <c r="N953" s="164"/>
      <c r="O953" s="164"/>
      <c r="P953" s="164"/>
      <c r="Q953" s="164"/>
      <c r="R953" s="164"/>
    </row>
    <row r="954" spans="13:18" ht="15" customHeight="1" x14ac:dyDescent="1">
      <c r="M954" s="164"/>
      <c r="N954" s="164"/>
      <c r="O954" s="164"/>
      <c r="P954" s="164"/>
      <c r="Q954" s="164"/>
      <c r="R954" s="164"/>
    </row>
    <row r="955" spans="13:18" ht="15" customHeight="1" x14ac:dyDescent="1">
      <c r="M955" s="164"/>
      <c r="N955" s="164"/>
      <c r="O955" s="164"/>
      <c r="P955" s="164"/>
      <c r="Q955" s="164"/>
      <c r="R955" s="164"/>
    </row>
    <row r="956" spans="13:18" ht="15" customHeight="1" x14ac:dyDescent="1">
      <c r="M956" s="164"/>
      <c r="N956" s="164"/>
      <c r="O956" s="164"/>
      <c r="P956" s="164"/>
      <c r="Q956" s="164"/>
      <c r="R956" s="164"/>
    </row>
    <row r="957" spans="13:18" ht="15" customHeight="1" x14ac:dyDescent="1">
      <c r="M957" s="164"/>
      <c r="N957" s="164"/>
      <c r="O957" s="164"/>
      <c r="P957" s="164"/>
      <c r="Q957" s="164"/>
      <c r="R957" s="164"/>
    </row>
    <row r="958" spans="13:18" ht="15" customHeight="1" x14ac:dyDescent="1">
      <c r="M958" s="164"/>
      <c r="N958" s="164"/>
      <c r="O958" s="164"/>
      <c r="P958" s="164"/>
      <c r="Q958" s="164"/>
      <c r="R958" s="164"/>
    </row>
    <row r="959" spans="13:18" ht="15" customHeight="1" x14ac:dyDescent="1">
      <c r="M959" s="164"/>
      <c r="N959" s="164"/>
      <c r="O959" s="164"/>
      <c r="P959" s="164"/>
      <c r="Q959" s="164"/>
      <c r="R959" s="164"/>
    </row>
    <row r="960" spans="13:18" ht="15" customHeight="1" x14ac:dyDescent="1">
      <c r="M960" s="164"/>
      <c r="N960" s="164"/>
      <c r="O960" s="164"/>
      <c r="P960" s="164"/>
      <c r="Q960" s="164"/>
      <c r="R960" s="164"/>
    </row>
    <row r="961" spans="13:18" ht="15" customHeight="1" x14ac:dyDescent="1">
      <c r="M961" s="164"/>
      <c r="N961" s="164"/>
      <c r="O961" s="164"/>
      <c r="P961" s="164"/>
      <c r="Q961" s="164"/>
      <c r="R961" s="164"/>
    </row>
    <row r="962" spans="13:18" ht="15" customHeight="1" x14ac:dyDescent="1">
      <c r="M962" s="164"/>
      <c r="N962" s="164"/>
      <c r="O962" s="164"/>
      <c r="P962" s="164"/>
      <c r="Q962" s="164"/>
      <c r="R962" s="164"/>
    </row>
    <row r="963" spans="13:18" ht="15" customHeight="1" x14ac:dyDescent="1">
      <c r="M963" s="164"/>
      <c r="N963" s="164"/>
      <c r="O963" s="164"/>
      <c r="P963" s="164"/>
      <c r="Q963" s="164"/>
      <c r="R963" s="164"/>
    </row>
    <row r="964" spans="13:18" ht="15" customHeight="1" x14ac:dyDescent="1">
      <c r="M964" s="164"/>
      <c r="N964" s="164"/>
      <c r="O964" s="164"/>
      <c r="P964" s="164"/>
      <c r="Q964" s="164"/>
      <c r="R964" s="164"/>
    </row>
    <row r="965" spans="13:18" ht="15" customHeight="1" x14ac:dyDescent="1">
      <c r="M965" s="164"/>
      <c r="N965" s="164"/>
      <c r="O965" s="164"/>
      <c r="P965" s="164"/>
      <c r="Q965" s="164"/>
      <c r="R965" s="164"/>
    </row>
    <row r="966" spans="13:18" ht="15" customHeight="1" x14ac:dyDescent="1">
      <c r="M966" s="164"/>
      <c r="N966" s="164"/>
      <c r="O966" s="164"/>
      <c r="P966" s="164"/>
      <c r="Q966" s="164"/>
      <c r="R966" s="164"/>
    </row>
    <row r="967" spans="13:18" ht="15" customHeight="1" x14ac:dyDescent="1">
      <c r="M967" s="164"/>
      <c r="N967" s="164"/>
      <c r="O967" s="164"/>
      <c r="P967" s="164"/>
      <c r="Q967" s="164"/>
      <c r="R967" s="164"/>
    </row>
    <row r="968" spans="13:18" ht="15" customHeight="1" x14ac:dyDescent="1">
      <c r="M968" s="164"/>
      <c r="N968" s="164"/>
      <c r="O968" s="164"/>
      <c r="P968" s="164"/>
      <c r="Q968" s="164"/>
      <c r="R968" s="164"/>
    </row>
    <row r="969" spans="13:18" ht="15" customHeight="1" x14ac:dyDescent="1">
      <c r="M969" s="164"/>
      <c r="N969" s="164"/>
      <c r="O969" s="164"/>
      <c r="P969" s="164"/>
      <c r="Q969" s="164"/>
      <c r="R969" s="164"/>
    </row>
    <row r="970" spans="13:18" ht="15" customHeight="1" x14ac:dyDescent="1">
      <c r="M970" s="164"/>
      <c r="N970" s="164"/>
      <c r="O970" s="164"/>
      <c r="P970" s="164"/>
      <c r="Q970" s="164"/>
      <c r="R970" s="164"/>
    </row>
    <row r="971" spans="13:18" ht="15" customHeight="1" x14ac:dyDescent="1">
      <c r="M971" s="164"/>
      <c r="N971" s="164"/>
      <c r="O971" s="164"/>
      <c r="P971" s="164"/>
      <c r="Q971" s="164"/>
      <c r="R971" s="164"/>
    </row>
    <row r="972" spans="13:18" ht="15" customHeight="1" x14ac:dyDescent="1">
      <c r="M972" s="164"/>
      <c r="N972" s="164"/>
      <c r="O972" s="164"/>
      <c r="P972" s="164"/>
      <c r="Q972" s="164"/>
      <c r="R972" s="164"/>
    </row>
    <row r="973" spans="13:18" ht="15" customHeight="1" x14ac:dyDescent="1">
      <c r="M973" s="164"/>
      <c r="N973" s="164"/>
      <c r="O973" s="164"/>
      <c r="P973" s="164"/>
      <c r="Q973" s="164"/>
      <c r="R973" s="164"/>
    </row>
    <row r="974" spans="13:18" ht="15" customHeight="1" x14ac:dyDescent="1">
      <c r="M974" s="164"/>
      <c r="N974" s="164"/>
      <c r="O974" s="164"/>
      <c r="P974" s="164"/>
      <c r="Q974" s="164"/>
      <c r="R974" s="164"/>
    </row>
    <row r="975" spans="13:18" ht="15" customHeight="1" x14ac:dyDescent="1">
      <c r="M975" s="164"/>
      <c r="N975" s="164"/>
      <c r="O975" s="164"/>
      <c r="P975" s="164"/>
      <c r="Q975" s="164"/>
      <c r="R975" s="164"/>
    </row>
    <row r="976" spans="13:18" ht="15" customHeight="1" x14ac:dyDescent="1">
      <c r="M976" s="164"/>
      <c r="N976" s="164"/>
      <c r="O976" s="164"/>
      <c r="P976" s="164"/>
      <c r="Q976" s="164"/>
      <c r="R976" s="164"/>
    </row>
    <row r="977" spans="13:18" ht="15" customHeight="1" x14ac:dyDescent="1">
      <c r="M977" s="164"/>
      <c r="N977" s="164"/>
      <c r="O977" s="164"/>
      <c r="P977" s="164"/>
      <c r="Q977" s="164"/>
      <c r="R977" s="164"/>
    </row>
    <row r="978" spans="13:18" ht="15" customHeight="1" x14ac:dyDescent="1">
      <c r="M978" s="164"/>
      <c r="N978" s="164"/>
      <c r="O978" s="164"/>
      <c r="P978" s="164"/>
      <c r="Q978" s="164"/>
      <c r="R978" s="164"/>
    </row>
    <row r="979" spans="13:18" ht="15" customHeight="1" x14ac:dyDescent="1">
      <c r="M979" s="164"/>
      <c r="N979" s="164"/>
      <c r="O979" s="164"/>
      <c r="P979" s="164"/>
      <c r="Q979" s="164"/>
      <c r="R979" s="164"/>
    </row>
    <row r="980" spans="13:18" ht="15" customHeight="1" x14ac:dyDescent="1">
      <c r="M980" s="164"/>
      <c r="N980" s="164"/>
      <c r="O980" s="164"/>
      <c r="P980" s="164"/>
      <c r="Q980" s="164"/>
      <c r="R980" s="164"/>
    </row>
    <row r="981" spans="13:18" ht="15" customHeight="1" x14ac:dyDescent="1">
      <c r="M981" s="164"/>
      <c r="N981" s="164"/>
      <c r="O981" s="164"/>
      <c r="P981" s="164"/>
      <c r="Q981" s="164"/>
      <c r="R981" s="164"/>
    </row>
    <row r="982" spans="13:18" ht="15" customHeight="1" x14ac:dyDescent="1">
      <c r="M982" s="164"/>
      <c r="N982" s="164"/>
      <c r="O982" s="164"/>
      <c r="P982" s="164"/>
      <c r="Q982" s="164"/>
      <c r="R982" s="164"/>
    </row>
    <row r="983" spans="13:18" ht="15" customHeight="1" x14ac:dyDescent="1">
      <c r="M983" s="164"/>
      <c r="N983" s="164"/>
      <c r="O983" s="164"/>
      <c r="P983" s="164"/>
      <c r="Q983" s="164"/>
      <c r="R983" s="164"/>
    </row>
    <row r="984" spans="13:18" ht="15" customHeight="1" x14ac:dyDescent="1">
      <c r="M984" s="164"/>
      <c r="N984" s="164"/>
      <c r="O984" s="164"/>
      <c r="P984" s="164"/>
      <c r="Q984" s="164"/>
      <c r="R984" s="164"/>
    </row>
    <row r="985" spans="13:18" ht="15" customHeight="1" x14ac:dyDescent="1">
      <c r="M985" s="164"/>
      <c r="N985" s="164"/>
      <c r="O985" s="164"/>
      <c r="P985" s="164"/>
      <c r="Q985" s="164"/>
      <c r="R985" s="164"/>
    </row>
    <row r="986" spans="13:18" ht="15" customHeight="1" x14ac:dyDescent="1">
      <c r="M986" s="164"/>
      <c r="N986" s="164"/>
      <c r="O986" s="164"/>
      <c r="P986" s="164"/>
      <c r="Q986" s="164"/>
      <c r="R986" s="164"/>
    </row>
    <row r="987" spans="13:18" ht="15" customHeight="1" x14ac:dyDescent="1">
      <c r="M987" s="164"/>
      <c r="N987" s="164"/>
      <c r="O987" s="164"/>
      <c r="P987" s="164"/>
      <c r="Q987" s="164"/>
      <c r="R987" s="164"/>
    </row>
    <row r="988" spans="13:18" ht="15" customHeight="1" x14ac:dyDescent="1">
      <c r="M988" s="164"/>
      <c r="N988" s="164"/>
      <c r="O988" s="164"/>
      <c r="P988" s="164"/>
      <c r="Q988" s="164"/>
      <c r="R988" s="164"/>
    </row>
    <row r="989" spans="13:18" ht="15" customHeight="1" x14ac:dyDescent="1">
      <c r="M989" s="164"/>
      <c r="N989" s="164"/>
      <c r="O989" s="164"/>
      <c r="P989" s="164"/>
      <c r="Q989" s="164"/>
      <c r="R989" s="164"/>
    </row>
    <row r="990" spans="13:18" ht="15" customHeight="1" x14ac:dyDescent="1">
      <c r="M990" s="164"/>
      <c r="N990" s="164"/>
      <c r="O990" s="164"/>
      <c r="P990" s="164"/>
      <c r="Q990" s="164"/>
      <c r="R990" s="164"/>
    </row>
    <row r="991" spans="13:18" ht="15" customHeight="1" x14ac:dyDescent="1">
      <c r="M991" s="164"/>
      <c r="N991" s="164"/>
      <c r="O991" s="164"/>
      <c r="P991" s="164"/>
      <c r="Q991" s="164"/>
      <c r="R991" s="164"/>
    </row>
    <row r="992" spans="13:18" ht="15" customHeight="1" x14ac:dyDescent="1">
      <c r="M992" s="164"/>
      <c r="N992" s="164"/>
      <c r="O992" s="164"/>
      <c r="P992" s="164"/>
      <c r="Q992" s="164"/>
      <c r="R992" s="164"/>
    </row>
    <row r="993" spans="13:18" ht="15" customHeight="1" x14ac:dyDescent="1">
      <c r="M993" s="164"/>
      <c r="N993" s="164"/>
      <c r="O993" s="164"/>
      <c r="P993" s="164"/>
      <c r="Q993" s="164"/>
      <c r="R993" s="164"/>
    </row>
    <row r="995" spans="13:18" ht="15" customHeight="1" x14ac:dyDescent="1">
      <c r="M995" s="162"/>
      <c r="N995" s="162"/>
    </row>
    <row r="996" spans="13:18" ht="15" customHeight="1" x14ac:dyDescent="1">
      <c r="M996" s="163"/>
      <c r="N996" s="163"/>
      <c r="O996" s="163"/>
      <c r="P996" s="163"/>
      <c r="Q996" s="163"/>
      <c r="R996" s="163"/>
    </row>
    <row r="997" spans="13:18" ht="15" customHeight="1" x14ac:dyDescent="1">
      <c r="M997" s="164"/>
      <c r="N997" s="164"/>
      <c r="O997" s="164"/>
      <c r="P997" s="164"/>
      <c r="Q997" s="164"/>
      <c r="R997" s="164"/>
    </row>
    <row r="998" spans="13:18" ht="15" customHeight="1" x14ac:dyDescent="1">
      <c r="M998" s="164"/>
      <c r="N998" s="164"/>
      <c r="O998" s="164"/>
      <c r="P998" s="164"/>
      <c r="Q998" s="164"/>
      <c r="R998" s="164"/>
    </row>
    <row r="999" spans="13:18" ht="15" customHeight="1" x14ac:dyDescent="1">
      <c r="M999" s="164"/>
      <c r="N999" s="164"/>
      <c r="O999" s="164"/>
      <c r="P999" s="164"/>
      <c r="Q999" s="164"/>
      <c r="R999" s="164"/>
    </row>
    <row r="1000" spans="13:18" ht="15" customHeight="1" x14ac:dyDescent="1">
      <c r="M1000" s="164"/>
      <c r="N1000" s="164"/>
      <c r="O1000" s="164"/>
      <c r="P1000" s="164"/>
      <c r="Q1000" s="164"/>
      <c r="R1000" s="164"/>
    </row>
    <row r="1001" spans="13:18" ht="15" customHeight="1" x14ac:dyDescent="1">
      <c r="M1001" s="164"/>
      <c r="N1001" s="164"/>
      <c r="O1001" s="164"/>
      <c r="P1001" s="164"/>
      <c r="Q1001" s="164"/>
      <c r="R1001" s="164"/>
    </row>
    <row r="1002" spans="13:18" ht="15" customHeight="1" x14ac:dyDescent="1">
      <c r="M1002" s="164"/>
      <c r="N1002" s="164"/>
      <c r="O1002" s="164"/>
      <c r="P1002" s="164"/>
      <c r="Q1002" s="164"/>
      <c r="R1002" s="164"/>
    </row>
    <row r="1003" spans="13:18" ht="15" customHeight="1" x14ac:dyDescent="1">
      <c r="M1003" s="164"/>
      <c r="N1003" s="164"/>
      <c r="O1003" s="164"/>
      <c r="P1003" s="164"/>
      <c r="Q1003" s="164"/>
      <c r="R1003" s="164"/>
    </row>
    <row r="1004" spans="13:18" ht="15" customHeight="1" x14ac:dyDescent="1">
      <c r="M1004" s="164"/>
      <c r="N1004" s="164"/>
      <c r="O1004" s="164"/>
      <c r="P1004" s="164"/>
      <c r="Q1004" s="164"/>
      <c r="R1004" s="164"/>
    </row>
    <row r="1005" spans="13:18" ht="15" customHeight="1" x14ac:dyDescent="1">
      <c r="M1005" s="164"/>
      <c r="N1005" s="164"/>
      <c r="O1005" s="164"/>
      <c r="P1005" s="164"/>
      <c r="Q1005" s="164"/>
      <c r="R1005" s="164"/>
    </row>
    <row r="1006" spans="13:18" ht="15" customHeight="1" x14ac:dyDescent="1">
      <c r="M1006" s="164"/>
      <c r="N1006" s="164"/>
      <c r="O1006" s="164"/>
      <c r="P1006" s="164"/>
      <c r="Q1006" s="164"/>
      <c r="R1006" s="164"/>
    </row>
    <row r="1007" spans="13:18" ht="15" customHeight="1" x14ac:dyDescent="1">
      <c r="M1007" s="164"/>
      <c r="N1007" s="164"/>
      <c r="O1007" s="164"/>
      <c r="P1007" s="164"/>
      <c r="Q1007" s="164"/>
      <c r="R1007" s="164"/>
    </row>
    <row r="1008" spans="13:18" ht="15" customHeight="1" x14ac:dyDescent="1">
      <c r="M1008" s="164"/>
      <c r="N1008" s="164"/>
      <c r="O1008" s="164"/>
      <c r="P1008" s="164"/>
      <c r="Q1008" s="164"/>
      <c r="R1008" s="164"/>
    </row>
    <row r="1009" spans="13:18" ht="15" customHeight="1" x14ac:dyDescent="1">
      <c r="M1009" s="164"/>
      <c r="N1009" s="164"/>
      <c r="O1009" s="164"/>
      <c r="P1009" s="164"/>
      <c r="Q1009" s="164"/>
      <c r="R1009" s="164"/>
    </row>
    <row r="1010" spans="13:18" ht="15" customHeight="1" x14ac:dyDescent="1">
      <c r="M1010" s="164"/>
      <c r="N1010" s="164"/>
      <c r="O1010" s="164"/>
      <c r="P1010" s="164"/>
      <c r="Q1010" s="164"/>
      <c r="R1010" s="164"/>
    </row>
    <row r="1011" spans="13:18" ht="15" customHeight="1" x14ac:dyDescent="1">
      <c r="M1011" s="164"/>
      <c r="N1011" s="164"/>
      <c r="O1011" s="164"/>
      <c r="P1011" s="164"/>
      <c r="Q1011" s="164"/>
      <c r="R1011" s="164"/>
    </row>
    <row r="1012" spans="13:18" ht="15" customHeight="1" x14ac:dyDescent="1">
      <c r="M1012" s="164"/>
      <c r="N1012" s="164"/>
      <c r="O1012" s="164"/>
      <c r="P1012" s="164"/>
      <c r="Q1012" s="164"/>
      <c r="R1012" s="164"/>
    </row>
    <row r="1013" spans="13:18" ht="15" customHeight="1" x14ac:dyDescent="1">
      <c r="M1013" s="164"/>
      <c r="N1013" s="164"/>
      <c r="O1013" s="164"/>
      <c r="P1013" s="164"/>
      <c r="Q1013" s="164"/>
      <c r="R1013" s="164"/>
    </row>
    <row r="1014" spans="13:18" ht="15" customHeight="1" x14ac:dyDescent="1">
      <c r="M1014" s="164"/>
      <c r="N1014" s="164"/>
      <c r="O1014" s="164"/>
      <c r="P1014" s="164"/>
      <c r="Q1014" s="164"/>
      <c r="R1014" s="164"/>
    </row>
    <row r="1015" spans="13:18" ht="15" customHeight="1" x14ac:dyDescent="1">
      <c r="M1015" s="164"/>
      <c r="N1015" s="164"/>
      <c r="O1015" s="164"/>
      <c r="P1015" s="164"/>
      <c r="Q1015" s="164"/>
      <c r="R1015" s="164"/>
    </row>
    <row r="1016" spans="13:18" ht="15" customHeight="1" x14ac:dyDescent="1">
      <c r="M1016" s="164"/>
      <c r="N1016" s="164"/>
      <c r="O1016" s="164"/>
      <c r="P1016" s="164"/>
      <c r="Q1016" s="164"/>
      <c r="R1016" s="164"/>
    </row>
    <row r="1017" spans="13:18" ht="15" customHeight="1" x14ac:dyDescent="1">
      <c r="M1017" s="164"/>
      <c r="N1017" s="164"/>
      <c r="O1017" s="164"/>
      <c r="P1017" s="164"/>
      <c r="Q1017" s="164"/>
      <c r="R1017" s="164"/>
    </row>
    <row r="1018" spans="13:18" ht="15" customHeight="1" x14ac:dyDescent="1">
      <c r="M1018" s="164"/>
      <c r="N1018" s="164"/>
      <c r="O1018" s="164"/>
      <c r="P1018" s="164"/>
      <c r="Q1018" s="164"/>
      <c r="R1018" s="164"/>
    </row>
    <row r="1019" spans="13:18" ht="15" customHeight="1" x14ac:dyDescent="1">
      <c r="M1019" s="164"/>
      <c r="N1019" s="164"/>
      <c r="O1019" s="164"/>
      <c r="P1019" s="164"/>
      <c r="Q1019" s="164"/>
      <c r="R1019" s="164"/>
    </row>
    <row r="1020" spans="13:18" ht="15" customHeight="1" x14ac:dyDescent="1">
      <c r="M1020" s="164"/>
      <c r="N1020" s="164"/>
      <c r="O1020" s="164"/>
      <c r="P1020" s="164"/>
      <c r="Q1020" s="164"/>
      <c r="R1020" s="164"/>
    </row>
    <row r="1021" spans="13:18" ht="15" customHeight="1" x14ac:dyDescent="1">
      <c r="M1021" s="164"/>
      <c r="N1021" s="164"/>
      <c r="O1021" s="164"/>
      <c r="P1021" s="164"/>
      <c r="Q1021" s="164"/>
      <c r="R1021" s="164"/>
    </row>
    <row r="1022" spans="13:18" ht="15" customHeight="1" x14ac:dyDescent="1">
      <c r="M1022" s="164"/>
      <c r="N1022" s="164"/>
      <c r="O1022" s="164"/>
      <c r="P1022" s="164"/>
      <c r="Q1022" s="164"/>
      <c r="R1022" s="164"/>
    </row>
    <row r="1023" spans="13:18" ht="15" customHeight="1" x14ac:dyDescent="1">
      <c r="M1023" s="164"/>
      <c r="N1023" s="164"/>
      <c r="O1023" s="164"/>
      <c r="P1023" s="164"/>
      <c r="Q1023" s="164"/>
      <c r="R1023" s="164"/>
    </row>
    <row r="1024" spans="13:18" ht="15" customHeight="1" x14ac:dyDescent="1">
      <c r="M1024" s="164"/>
      <c r="N1024" s="164"/>
      <c r="O1024" s="164"/>
      <c r="P1024" s="164"/>
      <c r="Q1024" s="164"/>
      <c r="R1024" s="164"/>
    </row>
    <row r="1025" spans="13:18" ht="15" customHeight="1" x14ac:dyDescent="1">
      <c r="M1025" s="164"/>
      <c r="N1025" s="164"/>
      <c r="O1025" s="164"/>
      <c r="P1025" s="164"/>
      <c r="Q1025" s="164"/>
      <c r="R1025" s="164"/>
    </row>
    <row r="1026" spans="13:18" ht="15" customHeight="1" x14ac:dyDescent="1">
      <c r="M1026" s="164"/>
      <c r="N1026" s="164"/>
      <c r="O1026" s="164"/>
      <c r="P1026" s="164"/>
      <c r="Q1026" s="164"/>
      <c r="R1026" s="164"/>
    </row>
    <row r="1027" spans="13:18" ht="15" customHeight="1" x14ac:dyDescent="1">
      <c r="M1027" s="164"/>
      <c r="N1027" s="164"/>
      <c r="O1027" s="164"/>
      <c r="P1027" s="164"/>
      <c r="Q1027" s="164"/>
      <c r="R1027" s="164"/>
    </row>
    <row r="1028" spans="13:18" ht="15" customHeight="1" x14ac:dyDescent="1">
      <c r="M1028" s="164"/>
      <c r="N1028" s="164"/>
      <c r="O1028" s="164"/>
      <c r="P1028" s="164"/>
      <c r="Q1028" s="164"/>
      <c r="R1028" s="164"/>
    </row>
    <row r="1029" spans="13:18" ht="15" customHeight="1" x14ac:dyDescent="1">
      <c r="M1029" s="164"/>
      <c r="N1029" s="164"/>
      <c r="O1029" s="164"/>
      <c r="P1029" s="164"/>
      <c r="Q1029" s="164"/>
      <c r="R1029" s="164"/>
    </row>
    <row r="1030" spans="13:18" ht="15" customHeight="1" x14ac:dyDescent="1">
      <c r="M1030" s="164"/>
      <c r="N1030" s="164"/>
      <c r="O1030" s="164"/>
      <c r="P1030" s="164"/>
      <c r="Q1030" s="164"/>
      <c r="R1030" s="164"/>
    </row>
    <row r="1031" spans="13:18" ht="15" customHeight="1" x14ac:dyDescent="1">
      <c r="M1031" s="164"/>
      <c r="N1031" s="164"/>
      <c r="O1031" s="164"/>
      <c r="P1031" s="164"/>
      <c r="Q1031" s="164"/>
      <c r="R1031" s="164"/>
    </row>
    <row r="1032" spans="13:18" ht="15" customHeight="1" x14ac:dyDescent="1">
      <c r="M1032" s="164"/>
      <c r="N1032" s="164"/>
      <c r="O1032" s="164"/>
      <c r="P1032" s="164"/>
      <c r="Q1032" s="164"/>
      <c r="R1032" s="164"/>
    </row>
    <row r="1033" spans="13:18" ht="15" customHeight="1" x14ac:dyDescent="1">
      <c r="M1033" s="164"/>
      <c r="N1033" s="164"/>
      <c r="O1033" s="164"/>
      <c r="P1033" s="164"/>
      <c r="Q1033" s="164"/>
      <c r="R1033" s="164"/>
    </row>
    <row r="1034" spans="13:18" ht="15" customHeight="1" x14ac:dyDescent="1">
      <c r="M1034" s="164"/>
      <c r="N1034" s="164"/>
      <c r="O1034" s="164"/>
      <c r="P1034" s="164"/>
      <c r="Q1034" s="164"/>
      <c r="R1034" s="164"/>
    </row>
    <row r="1035" spans="13:18" ht="15" customHeight="1" x14ac:dyDescent="1">
      <c r="M1035" s="164"/>
      <c r="N1035" s="164"/>
      <c r="O1035" s="164"/>
      <c r="P1035" s="164"/>
      <c r="Q1035" s="164"/>
      <c r="R1035" s="164"/>
    </row>
    <row r="1036" spans="13:18" ht="15" customHeight="1" x14ac:dyDescent="1">
      <c r="M1036" s="164"/>
      <c r="N1036" s="164"/>
      <c r="O1036" s="164"/>
      <c r="P1036" s="164"/>
      <c r="Q1036" s="164"/>
      <c r="R1036" s="164"/>
    </row>
    <row r="1037" spans="13:18" ht="15" customHeight="1" x14ac:dyDescent="1">
      <c r="M1037" s="164"/>
      <c r="N1037" s="164"/>
      <c r="O1037" s="164"/>
      <c r="P1037" s="164"/>
      <c r="Q1037" s="164"/>
      <c r="R1037" s="164"/>
    </row>
    <row r="1038" spans="13:18" ht="15" customHeight="1" x14ac:dyDescent="1">
      <c r="M1038" s="164"/>
      <c r="N1038" s="164"/>
      <c r="O1038" s="164"/>
      <c r="P1038" s="164"/>
      <c r="Q1038" s="164"/>
      <c r="R1038" s="164"/>
    </row>
    <row r="1039" spans="13:18" ht="15" customHeight="1" x14ac:dyDescent="1">
      <c r="M1039" s="164"/>
      <c r="N1039" s="164"/>
      <c r="O1039" s="164"/>
      <c r="P1039" s="164"/>
      <c r="Q1039" s="164"/>
      <c r="R1039" s="164"/>
    </row>
    <row r="1040" spans="13:18" ht="15" customHeight="1" x14ac:dyDescent="1">
      <c r="M1040" s="164"/>
      <c r="N1040" s="164"/>
      <c r="O1040" s="164"/>
      <c r="P1040" s="164"/>
      <c r="Q1040" s="164"/>
      <c r="R1040" s="164"/>
    </row>
    <row r="1041" spans="13:18" ht="15" customHeight="1" x14ac:dyDescent="1">
      <c r="M1041" s="164"/>
      <c r="N1041" s="164"/>
      <c r="O1041" s="164"/>
      <c r="P1041" s="164"/>
      <c r="Q1041" s="164"/>
      <c r="R1041" s="164"/>
    </row>
    <row r="1042" spans="13:18" ht="15" customHeight="1" x14ac:dyDescent="1">
      <c r="M1042" s="164"/>
      <c r="N1042" s="164"/>
      <c r="O1042" s="164"/>
      <c r="P1042" s="164"/>
      <c r="Q1042" s="164"/>
      <c r="R1042" s="164"/>
    </row>
    <row r="1043" spans="13:18" ht="15" customHeight="1" x14ac:dyDescent="1">
      <c r="M1043" s="164"/>
      <c r="N1043" s="164"/>
      <c r="O1043" s="164"/>
      <c r="P1043" s="164"/>
      <c r="Q1043" s="164"/>
      <c r="R1043" s="164"/>
    </row>
    <row r="1045" spans="13:18" ht="15" customHeight="1" x14ac:dyDescent="1">
      <c r="M1045" s="162"/>
      <c r="N1045" s="162"/>
    </row>
    <row r="1046" spans="13:18" ht="15" customHeight="1" x14ac:dyDescent="1">
      <c r="M1046" s="163"/>
      <c r="N1046" s="163"/>
      <c r="O1046" s="163"/>
      <c r="P1046" s="163"/>
      <c r="Q1046" s="163"/>
      <c r="R1046" s="163"/>
    </row>
    <row r="1047" spans="13:18" ht="15" customHeight="1" x14ac:dyDescent="1">
      <c r="M1047" s="164"/>
      <c r="N1047" s="164"/>
      <c r="O1047" s="164"/>
      <c r="P1047" s="164"/>
      <c r="Q1047" s="164"/>
      <c r="R1047" s="164"/>
    </row>
    <row r="1048" spans="13:18" ht="15" customHeight="1" x14ac:dyDescent="1">
      <c r="M1048" s="164"/>
      <c r="N1048" s="164"/>
      <c r="O1048" s="164"/>
      <c r="P1048" s="164"/>
      <c r="Q1048" s="164"/>
      <c r="R1048" s="164"/>
    </row>
    <row r="1049" spans="13:18" ht="15" customHeight="1" x14ac:dyDescent="1">
      <c r="M1049" s="164"/>
      <c r="N1049" s="164"/>
      <c r="O1049" s="164"/>
      <c r="P1049" s="164"/>
      <c r="Q1049" s="164"/>
      <c r="R1049" s="164"/>
    </row>
    <row r="1050" spans="13:18" ht="15" customHeight="1" x14ac:dyDescent="1">
      <c r="M1050" s="164"/>
      <c r="N1050" s="164"/>
      <c r="O1050" s="164"/>
      <c r="P1050" s="164"/>
      <c r="Q1050" s="164"/>
      <c r="R1050" s="164"/>
    </row>
    <row r="1051" spans="13:18" ht="15" customHeight="1" x14ac:dyDescent="1">
      <c r="M1051" s="164"/>
      <c r="N1051" s="164"/>
      <c r="O1051" s="164"/>
      <c r="P1051" s="164"/>
      <c r="Q1051" s="164"/>
      <c r="R1051" s="164"/>
    </row>
    <row r="1052" spans="13:18" ht="15" customHeight="1" x14ac:dyDescent="1">
      <c r="M1052" s="164"/>
      <c r="N1052" s="164"/>
      <c r="O1052" s="164"/>
      <c r="P1052" s="164"/>
      <c r="Q1052" s="164"/>
      <c r="R1052" s="164"/>
    </row>
    <row r="1053" spans="13:18" ht="15" customHeight="1" x14ac:dyDescent="1">
      <c r="M1053" s="164"/>
      <c r="N1053" s="164"/>
      <c r="O1053" s="164"/>
      <c r="P1053" s="164"/>
      <c r="Q1053" s="164"/>
      <c r="R1053" s="164"/>
    </row>
    <row r="1054" spans="13:18" ht="15" customHeight="1" x14ac:dyDescent="1">
      <c r="M1054" s="164"/>
      <c r="N1054" s="164"/>
      <c r="O1054" s="164"/>
      <c r="P1054" s="164"/>
      <c r="Q1054" s="164"/>
      <c r="R1054" s="164"/>
    </row>
    <row r="1055" spans="13:18" ht="15" customHeight="1" x14ac:dyDescent="1">
      <c r="M1055" s="164"/>
      <c r="N1055" s="164"/>
      <c r="O1055" s="164"/>
      <c r="P1055" s="164"/>
      <c r="Q1055" s="164"/>
      <c r="R1055" s="164"/>
    </row>
    <row r="1056" spans="13:18" ht="15" customHeight="1" x14ac:dyDescent="1">
      <c r="M1056" s="164"/>
      <c r="N1056" s="164"/>
      <c r="O1056" s="164"/>
      <c r="P1056" s="164"/>
      <c r="Q1056" s="164"/>
      <c r="R1056" s="164"/>
    </row>
    <row r="1057" spans="13:18" ht="15" customHeight="1" x14ac:dyDescent="1">
      <c r="M1057" s="164"/>
      <c r="N1057" s="164"/>
      <c r="O1057" s="164"/>
      <c r="P1057" s="164"/>
      <c r="Q1057" s="164"/>
      <c r="R1057" s="164"/>
    </row>
    <row r="1059" spans="13:18" ht="15" customHeight="1" x14ac:dyDescent="1">
      <c r="M1059" s="162"/>
      <c r="N1059" s="162"/>
    </row>
    <row r="1060" spans="13:18" ht="15" customHeight="1" x14ac:dyDescent="1">
      <c r="M1060" s="163"/>
      <c r="N1060" s="163"/>
      <c r="O1060" s="163"/>
      <c r="P1060" s="163"/>
      <c r="Q1060" s="163"/>
      <c r="R1060" s="163"/>
    </row>
    <row r="1061" spans="13:18" ht="15" customHeight="1" x14ac:dyDescent="1">
      <c r="M1061" s="164"/>
      <c r="N1061" s="164"/>
      <c r="O1061" s="164"/>
      <c r="P1061" s="164"/>
      <c r="Q1061" s="164"/>
      <c r="R1061" s="164"/>
    </row>
    <row r="1062" spans="13:18" ht="15" customHeight="1" x14ac:dyDescent="1">
      <c r="M1062" s="164"/>
      <c r="N1062" s="164"/>
      <c r="O1062" s="164"/>
      <c r="P1062" s="164"/>
      <c r="Q1062" s="164"/>
      <c r="R1062" s="164"/>
    </row>
    <row r="1063" spans="13:18" ht="15" customHeight="1" x14ac:dyDescent="1">
      <c r="M1063" s="164"/>
      <c r="N1063" s="164"/>
      <c r="O1063" s="164"/>
      <c r="P1063" s="164"/>
      <c r="Q1063" s="164"/>
      <c r="R1063" s="164"/>
    </row>
    <row r="1064" spans="13:18" ht="15" customHeight="1" x14ac:dyDescent="1">
      <c r="M1064" s="164"/>
      <c r="N1064" s="164"/>
      <c r="O1064" s="164"/>
      <c r="P1064" s="164"/>
      <c r="Q1064" s="164"/>
      <c r="R1064" s="164"/>
    </row>
    <row r="1065" spans="13:18" ht="15" customHeight="1" x14ac:dyDescent="1">
      <c r="M1065" s="164"/>
      <c r="N1065" s="164"/>
      <c r="O1065" s="164"/>
      <c r="P1065" s="164"/>
      <c r="Q1065" s="164"/>
      <c r="R1065" s="164"/>
    </row>
    <row r="1066" spans="13:18" ht="15" customHeight="1" x14ac:dyDescent="1">
      <c r="M1066" s="164"/>
      <c r="N1066" s="164"/>
      <c r="O1066" s="164"/>
      <c r="P1066" s="164"/>
      <c r="Q1066" s="164"/>
      <c r="R1066" s="164"/>
    </row>
    <row r="1067" spans="13:18" ht="15" customHeight="1" x14ac:dyDescent="1">
      <c r="M1067" s="164"/>
      <c r="N1067" s="164"/>
      <c r="O1067" s="164"/>
      <c r="P1067" s="164"/>
      <c r="Q1067" s="164"/>
      <c r="R1067" s="164"/>
    </row>
    <row r="1068" spans="13:18" ht="15" customHeight="1" x14ac:dyDescent="1">
      <c r="M1068" s="164"/>
      <c r="N1068" s="164"/>
      <c r="O1068" s="164"/>
      <c r="P1068" s="164"/>
      <c r="Q1068" s="164"/>
      <c r="R1068" s="164"/>
    </row>
    <row r="1069" spans="13:18" ht="15" customHeight="1" x14ac:dyDescent="1">
      <c r="M1069" s="164"/>
      <c r="N1069" s="164"/>
      <c r="O1069" s="164"/>
      <c r="P1069" s="164"/>
      <c r="Q1069" s="164"/>
      <c r="R1069" s="164"/>
    </row>
    <row r="1070" spans="13:18" ht="15" customHeight="1" x14ac:dyDescent="1">
      <c r="M1070" s="164"/>
      <c r="N1070" s="164"/>
      <c r="O1070" s="164"/>
      <c r="P1070" s="164"/>
      <c r="Q1070" s="164"/>
      <c r="R1070" s="164"/>
    </row>
    <row r="1071" spans="13:18" ht="15" customHeight="1" x14ac:dyDescent="1">
      <c r="M1071" s="164"/>
      <c r="N1071" s="164"/>
      <c r="O1071" s="164"/>
      <c r="P1071" s="164"/>
      <c r="Q1071" s="164"/>
      <c r="R1071" s="164"/>
    </row>
    <row r="1072" spans="13:18" ht="15" customHeight="1" x14ac:dyDescent="1">
      <c r="M1072" s="164"/>
      <c r="N1072" s="164"/>
      <c r="O1072" s="164"/>
      <c r="P1072" s="164"/>
      <c r="Q1072" s="164"/>
      <c r="R1072" s="164"/>
    </row>
    <row r="1073" spans="13:18" ht="15" customHeight="1" x14ac:dyDescent="1">
      <c r="M1073" s="164"/>
      <c r="N1073" s="164"/>
      <c r="O1073" s="164"/>
      <c r="P1073" s="164"/>
      <c r="Q1073" s="164"/>
      <c r="R1073" s="164"/>
    </row>
    <row r="1074" spans="13:18" ht="15" customHeight="1" x14ac:dyDescent="1">
      <c r="M1074" s="164"/>
      <c r="N1074" s="164"/>
      <c r="O1074" s="164"/>
      <c r="P1074" s="164"/>
      <c r="Q1074" s="164"/>
      <c r="R1074" s="164"/>
    </row>
    <row r="1075" spans="13:18" ht="15" customHeight="1" x14ac:dyDescent="1">
      <c r="M1075" s="164"/>
      <c r="N1075" s="164"/>
      <c r="O1075" s="164"/>
      <c r="P1075" s="164"/>
      <c r="Q1075" s="164"/>
      <c r="R1075" s="164"/>
    </row>
    <row r="1076" spans="13:18" ht="15" customHeight="1" x14ac:dyDescent="1">
      <c r="M1076" s="164"/>
      <c r="N1076" s="164"/>
      <c r="O1076" s="164"/>
      <c r="P1076" s="164"/>
      <c r="Q1076" s="164"/>
      <c r="R1076" s="164"/>
    </row>
    <row r="1077" spans="13:18" ht="15" customHeight="1" x14ac:dyDescent="1">
      <c r="M1077" s="164"/>
      <c r="N1077" s="164"/>
      <c r="O1077" s="164"/>
      <c r="P1077" s="164"/>
      <c r="Q1077" s="164"/>
      <c r="R1077" s="164"/>
    </row>
    <row r="1079" spans="13:18" ht="15" customHeight="1" x14ac:dyDescent="1">
      <c r="M1079" s="162"/>
      <c r="N1079" s="162"/>
    </row>
    <row r="1080" spans="13:18" ht="15" customHeight="1" x14ac:dyDescent="1">
      <c r="M1080" s="163"/>
      <c r="N1080" s="163"/>
      <c r="O1080" s="163"/>
      <c r="P1080" s="163"/>
      <c r="Q1080" s="163"/>
      <c r="R1080" s="163"/>
    </row>
    <row r="1081" spans="13:18" ht="15" customHeight="1" x14ac:dyDescent="1">
      <c r="M1081" s="164"/>
      <c r="N1081" s="164"/>
      <c r="O1081" s="164"/>
      <c r="P1081" s="164"/>
      <c r="Q1081" s="164"/>
      <c r="R1081" s="164"/>
    </row>
    <row r="1082" spans="13:18" ht="15" customHeight="1" x14ac:dyDescent="1">
      <c r="M1082" s="164"/>
      <c r="N1082" s="164"/>
      <c r="O1082" s="164"/>
      <c r="P1082" s="164"/>
      <c r="Q1082" s="164"/>
      <c r="R1082" s="164"/>
    </row>
    <row r="1083" spans="13:18" ht="15" customHeight="1" x14ac:dyDescent="1">
      <c r="M1083" s="164"/>
      <c r="N1083" s="164"/>
      <c r="O1083" s="164"/>
      <c r="P1083" s="164"/>
      <c r="Q1083" s="164"/>
      <c r="R1083" s="164"/>
    </row>
    <row r="1084" spans="13:18" ht="15" customHeight="1" x14ac:dyDescent="1">
      <c r="M1084" s="164"/>
      <c r="N1084" s="164"/>
      <c r="O1084" s="164"/>
      <c r="P1084" s="164"/>
      <c r="Q1084" s="164"/>
      <c r="R1084" s="164"/>
    </row>
    <row r="1085" spans="13:18" ht="15" customHeight="1" x14ac:dyDescent="1">
      <c r="M1085" s="164"/>
      <c r="N1085" s="164"/>
      <c r="O1085" s="164"/>
      <c r="P1085" s="164"/>
      <c r="Q1085" s="164"/>
      <c r="R1085" s="164"/>
    </row>
    <row r="1086" spans="13:18" ht="15" customHeight="1" x14ac:dyDescent="1">
      <c r="M1086" s="164"/>
      <c r="N1086" s="164"/>
      <c r="O1086" s="164"/>
      <c r="P1086" s="164"/>
      <c r="Q1086" s="164"/>
      <c r="R1086" s="164"/>
    </row>
    <row r="1087" spans="13:18" ht="15" customHeight="1" x14ac:dyDescent="1">
      <c r="M1087" s="164"/>
      <c r="N1087" s="164"/>
      <c r="O1087" s="164"/>
      <c r="P1087" s="164"/>
      <c r="Q1087" s="164"/>
      <c r="R1087" s="164"/>
    </row>
    <row r="1088" spans="13:18" ht="15" customHeight="1" x14ac:dyDescent="1">
      <c r="M1088" s="164"/>
      <c r="N1088" s="164"/>
      <c r="O1088" s="164"/>
      <c r="P1088" s="164"/>
      <c r="Q1088" s="164"/>
      <c r="R1088" s="164"/>
    </row>
    <row r="1089" spans="13:18" ht="15" customHeight="1" x14ac:dyDescent="1">
      <c r="M1089" s="164"/>
      <c r="N1089" s="164"/>
      <c r="O1089" s="164"/>
      <c r="P1089" s="164"/>
      <c r="Q1089" s="164"/>
      <c r="R1089" s="164"/>
    </row>
    <row r="1090" spans="13:18" ht="15" customHeight="1" x14ac:dyDescent="1">
      <c r="M1090" s="164"/>
      <c r="N1090" s="164"/>
      <c r="O1090" s="164"/>
      <c r="P1090" s="164"/>
      <c r="Q1090" s="164"/>
      <c r="R1090" s="164"/>
    </row>
    <row r="1091" spans="13:18" ht="15" customHeight="1" x14ac:dyDescent="1">
      <c r="M1091" s="164"/>
      <c r="N1091" s="164"/>
      <c r="O1091" s="164"/>
      <c r="P1091" s="164"/>
      <c r="Q1091" s="164"/>
      <c r="R1091" s="164"/>
    </row>
    <row r="1092" spans="13:18" ht="15" customHeight="1" x14ac:dyDescent="1">
      <c r="M1092" s="164"/>
      <c r="N1092" s="164"/>
      <c r="O1092" s="164"/>
      <c r="P1092" s="164"/>
      <c r="Q1092" s="164"/>
      <c r="R1092" s="164"/>
    </row>
    <row r="1093" spans="13:18" ht="15" customHeight="1" x14ac:dyDescent="1">
      <c r="M1093" s="164"/>
      <c r="N1093" s="164"/>
      <c r="O1093" s="164"/>
      <c r="P1093" s="164"/>
      <c r="Q1093" s="164"/>
      <c r="R1093" s="164"/>
    </row>
    <row r="1094" spans="13:18" ht="15" customHeight="1" x14ac:dyDescent="1">
      <c r="M1094" s="164"/>
      <c r="N1094" s="164"/>
      <c r="O1094" s="164"/>
      <c r="P1094" s="164"/>
      <c r="Q1094" s="164"/>
      <c r="R1094" s="164"/>
    </row>
    <row r="1095" spans="13:18" ht="15" customHeight="1" x14ac:dyDescent="1">
      <c r="M1095" s="164"/>
      <c r="N1095" s="164"/>
      <c r="O1095" s="164"/>
      <c r="P1095" s="164"/>
      <c r="Q1095" s="164"/>
      <c r="R1095" s="164"/>
    </row>
    <row r="1096" spans="13:18" ht="15" customHeight="1" x14ac:dyDescent="1">
      <c r="M1096" s="164"/>
      <c r="N1096" s="164"/>
      <c r="O1096" s="164"/>
      <c r="P1096" s="164"/>
      <c r="Q1096" s="164"/>
      <c r="R1096" s="164"/>
    </row>
    <row r="1097" spans="13:18" ht="15" customHeight="1" x14ac:dyDescent="1">
      <c r="M1097" s="164"/>
      <c r="N1097" s="164"/>
      <c r="O1097" s="164"/>
      <c r="P1097" s="164"/>
      <c r="Q1097" s="164"/>
      <c r="R1097" s="164"/>
    </row>
    <row r="1098" spans="13:18" ht="15" customHeight="1" x14ac:dyDescent="1">
      <c r="M1098" s="164"/>
      <c r="N1098" s="164"/>
      <c r="O1098" s="164"/>
      <c r="P1098" s="164"/>
      <c r="Q1098" s="164"/>
      <c r="R1098" s="164"/>
    </row>
    <row r="1099" spans="13:18" ht="15" customHeight="1" x14ac:dyDescent="1">
      <c r="M1099" s="164"/>
      <c r="N1099" s="164"/>
      <c r="O1099" s="164"/>
      <c r="P1099" s="164"/>
      <c r="Q1099" s="164"/>
      <c r="R1099" s="164"/>
    </row>
    <row r="1100" spans="13:18" ht="15" customHeight="1" x14ac:dyDescent="1">
      <c r="M1100" s="164"/>
      <c r="N1100" s="164"/>
      <c r="O1100" s="164"/>
      <c r="P1100" s="164"/>
      <c r="Q1100" s="164"/>
      <c r="R1100" s="164"/>
    </row>
    <row r="1101" spans="13:18" ht="15" customHeight="1" x14ac:dyDescent="1">
      <c r="M1101" s="164"/>
      <c r="N1101" s="164"/>
      <c r="O1101" s="164"/>
      <c r="P1101" s="164"/>
      <c r="Q1101" s="164"/>
      <c r="R1101" s="164"/>
    </row>
    <row r="1102" spans="13:18" ht="15" customHeight="1" x14ac:dyDescent="1">
      <c r="M1102" s="164"/>
      <c r="N1102" s="164"/>
      <c r="O1102" s="164"/>
      <c r="P1102" s="164"/>
      <c r="Q1102" s="164"/>
      <c r="R1102" s="164"/>
    </row>
    <row r="1103" spans="13:18" ht="15" customHeight="1" x14ac:dyDescent="1">
      <c r="M1103" s="164"/>
      <c r="N1103" s="164"/>
      <c r="O1103" s="164"/>
      <c r="P1103" s="164"/>
      <c r="Q1103" s="164"/>
      <c r="R1103" s="164"/>
    </row>
    <row r="1104" spans="13:18" ht="15" customHeight="1" x14ac:dyDescent="1">
      <c r="M1104" s="164"/>
      <c r="N1104" s="164"/>
      <c r="O1104" s="164"/>
      <c r="P1104" s="164"/>
      <c r="Q1104" s="164"/>
      <c r="R1104" s="164"/>
    </row>
    <row r="1105" spans="13:18" ht="15" customHeight="1" x14ac:dyDescent="1">
      <c r="M1105" s="164"/>
      <c r="N1105" s="164"/>
      <c r="O1105" s="164"/>
      <c r="P1105" s="164"/>
      <c r="Q1105" s="164"/>
      <c r="R1105" s="164"/>
    </row>
    <row r="1106" spans="13:18" ht="15" customHeight="1" x14ac:dyDescent="1">
      <c r="M1106" s="164"/>
      <c r="N1106" s="164"/>
      <c r="O1106" s="164"/>
      <c r="P1106" s="164"/>
      <c r="Q1106" s="164"/>
      <c r="R1106" s="164"/>
    </row>
    <row r="1107" spans="13:18" ht="15" customHeight="1" x14ac:dyDescent="1">
      <c r="M1107" s="164"/>
      <c r="N1107" s="164"/>
      <c r="O1107" s="164"/>
      <c r="P1107" s="164"/>
      <c r="Q1107" s="164"/>
      <c r="R1107" s="164"/>
    </row>
    <row r="1108" spans="13:18" ht="15" customHeight="1" x14ac:dyDescent="1">
      <c r="M1108" s="164"/>
      <c r="N1108" s="164"/>
      <c r="O1108" s="164"/>
      <c r="P1108" s="164"/>
      <c r="Q1108" s="164"/>
      <c r="R1108" s="164"/>
    </row>
    <row r="1109" spans="13:18" ht="15" customHeight="1" x14ac:dyDescent="1">
      <c r="M1109" s="164"/>
      <c r="N1109" s="164"/>
      <c r="O1109" s="164"/>
      <c r="P1109" s="164"/>
      <c r="Q1109" s="164"/>
      <c r="R1109" s="164"/>
    </row>
    <row r="1110" spans="13:18" ht="15" customHeight="1" x14ac:dyDescent="1">
      <c r="M1110" s="164"/>
      <c r="N1110" s="164"/>
      <c r="O1110" s="164"/>
      <c r="P1110" s="164"/>
      <c r="Q1110" s="164"/>
      <c r="R1110" s="164"/>
    </row>
    <row r="1111" spans="13:18" ht="15" customHeight="1" x14ac:dyDescent="1">
      <c r="M1111" s="164"/>
      <c r="N1111" s="164"/>
      <c r="O1111" s="164"/>
      <c r="P1111" s="164"/>
      <c r="Q1111" s="164"/>
      <c r="R1111" s="164"/>
    </row>
    <row r="1112" spans="13:18" ht="15" customHeight="1" x14ac:dyDescent="1">
      <c r="M1112" s="164"/>
      <c r="N1112" s="164"/>
      <c r="O1112" s="164"/>
      <c r="P1112" s="164"/>
      <c r="Q1112" s="164"/>
      <c r="R1112" s="164"/>
    </row>
    <row r="1113" spans="13:18" ht="15" customHeight="1" x14ac:dyDescent="1">
      <c r="M1113" s="164"/>
      <c r="N1113" s="164"/>
      <c r="O1113" s="164"/>
      <c r="P1113" s="164"/>
      <c r="Q1113" s="164"/>
      <c r="R1113" s="164"/>
    </row>
    <row r="1114" spans="13:18" ht="15" customHeight="1" x14ac:dyDescent="1">
      <c r="M1114" s="164"/>
      <c r="N1114" s="164"/>
      <c r="O1114" s="164"/>
      <c r="P1114" s="164"/>
      <c r="Q1114" s="164"/>
      <c r="R1114" s="164"/>
    </row>
    <row r="1115" spans="13:18" ht="15" customHeight="1" x14ac:dyDescent="1">
      <c r="M1115" s="164"/>
      <c r="N1115" s="164"/>
      <c r="O1115" s="164"/>
      <c r="P1115" s="164"/>
      <c r="Q1115" s="164"/>
      <c r="R1115" s="164"/>
    </row>
    <row r="1116" spans="13:18" ht="15" customHeight="1" x14ac:dyDescent="1">
      <c r="M1116" s="164"/>
      <c r="N1116" s="164"/>
      <c r="O1116" s="164"/>
      <c r="P1116" s="164"/>
      <c r="Q1116" s="164"/>
      <c r="R1116" s="164"/>
    </row>
    <row r="1117" spans="13:18" ht="15" customHeight="1" x14ac:dyDescent="1">
      <c r="M1117" s="164"/>
      <c r="N1117" s="164"/>
      <c r="O1117" s="164"/>
      <c r="P1117" s="164"/>
      <c r="Q1117" s="164"/>
      <c r="R1117" s="164"/>
    </row>
    <row r="1118" spans="13:18" ht="15" customHeight="1" x14ac:dyDescent="1">
      <c r="M1118" s="164"/>
      <c r="N1118" s="164"/>
      <c r="O1118" s="164"/>
      <c r="P1118" s="164"/>
      <c r="Q1118" s="164"/>
      <c r="R1118" s="164"/>
    </row>
    <row r="1119" spans="13:18" ht="15" customHeight="1" x14ac:dyDescent="1">
      <c r="M1119" s="164"/>
      <c r="N1119" s="164"/>
      <c r="O1119" s="164"/>
      <c r="P1119" s="164"/>
      <c r="Q1119" s="164"/>
      <c r="R1119" s="164"/>
    </row>
    <row r="1120" spans="13:18" ht="15" customHeight="1" x14ac:dyDescent="1">
      <c r="M1120" s="164"/>
      <c r="N1120" s="164"/>
      <c r="O1120" s="164"/>
      <c r="P1120" s="164"/>
      <c r="Q1120" s="164"/>
      <c r="R1120" s="164"/>
    </row>
    <row r="1121" spans="13:18" ht="15" customHeight="1" x14ac:dyDescent="1">
      <c r="M1121" s="164"/>
      <c r="N1121" s="164"/>
      <c r="O1121" s="164"/>
      <c r="P1121" s="164"/>
      <c r="Q1121" s="164"/>
      <c r="R1121" s="164"/>
    </row>
    <row r="1122" spans="13:18" ht="15" customHeight="1" x14ac:dyDescent="1">
      <c r="M1122" s="164"/>
      <c r="N1122" s="164"/>
      <c r="O1122" s="164"/>
      <c r="P1122" s="164"/>
      <c r="Q1122" s="164"/>
      <c r="R1122" s="164"/>
    </row>
    <row r="1123" spans="13:18" ht="15" customHeight="1" x14ac:dyDescent="1">
      <c r="M1123" s="164"/>
      <c r="N1123" s="164"/>
      <c r="O1123" s="164"/>
      <c r="P1123" s="164"/>
      <c r="Q1123" s="164"/>
      <c r="R1123" s="164"/>
    </row>
    <row r="1124" spans="13:18" ht="15" customHeight="1" x14ac:dyDescent="1">
      <c r="M1124" s="164"/>
      <c r="N1124" s="164"/>
      <c r="O1124" s="164"/>
      <c r="P1124" s="164"/>
      <c r="Q1124" s="164"/>
      <c r="R1124" s="164"/>
    </row>
    <row r="1125" spans="13:18" ht="15" customHeight="1" x14ac:dyDescent="1">
      <c r="M1125" s="164"/>
      <c r="N1125" s="164"/>
      <c r="O1125" s="164"/>
      <c r="P1125" s="164"/>
      <c r="Q1125" s="164"/>
      <c r="R1125" s="164"/>
    </row>
    <row r="1126" spans="13:18" ht="15" customHeight="1" x14ac:dyDescent="1">
      <c r="M1126" s="164"/>
      <c r="N1126" s="164"/>
      <c r="O1126" s="164"/>
      <c r="P1126" s="164"/>
      <c r="Q1126" s="164"/>
      <c r="R1126" s="164"/>
    </row>
    <row r="1127" spans="13:18" ht="15" customHeight="1" x14ac:dyDescent="1">
      <c r="M1127" s="164"/>
      <c r="N1127" s="164"/>
      <c r="O1127" s="164"/>
      <c r="P1127" s="164"/>
      <c r="Q1127" s="164"/>
      <c r="R1127" s="164"/>
    </row>
    <row r="1128" spans="13:18" ht="15" customHeight="1" x14ac:dyDescent="1">
      <c r="M1128" s="164"/>
      <c r="N1128" s="164"/>
      <c r="O1128" s="164"/>
      <c r="P1128" s="164"/>
      <c r="Q1128" s="164"/>
      <c r="R1128" s="164"/>
    </row>
    <row r="1129" spans="13:18" ht="15" customHeight="1" x14ac:dyDescent="1">
      <c r="M1129" s="164"/>
      <c r="N1129" s="164"/>
      <c r="O1129" s="164"/>
      <c r="P1129" s="164"/>
      <c r="Q1129" s="164"/>
      <c r="R1129" s="164"/>
    </row>
    <row r="1130" spans="13:18" ht="15" customHeight="1" x14ac:dyDescent="1">
      <c r="M1130" s="164"/>
      <c r="N1130" s="164"/>
      <c r="O1130" s="164"/>
      <c r="P1130" s="164"/>
      <c r="Q1130" s="164"/>
      <c r="R1130" s="164"/>
    </row>
    <row r="1131" spans="13:18" ht="15" customHeight="1" x14ac:dyDescent="1">
      <c r="M1131" s="164"/>
      <c r="N1131" s="164"/>
      <c r="O1131" s="164"/>
      <c r="P1131" s="164"/>
      <c r="Q1131" s="164"/>
      <c r="R1131" s="164"/>
    </row>
    <row r="1132" spans="13:18" ht="15" customHeight="1" x14ac:dyDescent="1">
      <c r="M1132" s="164"/>
      <c r="N1132" s="164"/>
      <c r="O1132" s="164"/>
      <c r="P1132" s="164"/>
      <c r="Q1132" s="164"/>
      <c r="R1132" s="164"/>
    </row>
    <row r="1133" spans="13:18" ht="15" customHeight="1" x14ac:dyDescent="1">
      <c r="M1133" s="164"/>
      <c r="N1133" s="164"/>
      <c r="O1133" s="164"/>
      <c r="P1133" s="164"/>
      <c r="Q1133" s="164"/>
      <c r="R1133" s="164"/>
    </row>
    <row r="1134" spans="13:18" ht="15" customHeight="1" x14ac:dyDescent="1">
      <c r="M1134" s="164"/>
      <c r="N1134" s="164"/>
      <c r="O1134" s="164"/>
      <c r="P1134" s="164"/>
      <c r="Q1134" s="164"/>
      <c r="R1134" s="164"/>
    </row>
    <row r="1135" spans="13:18" ht="15" customHeight="1" x14ac:dyDescent="1">
      <c r="M1135" s="164"/>
      <c r="N1135" s="164"/>
      <c r="O1135" s="164"/>
      <c r="P1135" s="164"/>
      <c r="Q1135" s="164"/>
      <c r="R1135" s="164"/>
    </row>
    <row r="1136" spans="13:18" ht="15" customHeight="1" x14ac:dyDescent="1">
      <c r="M1136" s="164"/>
      <c r="N1136" s="164"/>
      <c r="O1136" s="164"/>
      <c r="P1136" s="164"/>
      <c r="Q1136" s="164"/>
      <c r="R1136" s="164"/>
    </row>
    <row r="1137" spans="13:18" ht="15" customHeight="1" x14ac:dyDescent="1">
      <c r="M1137" s="164"/>
      <c r="N1137" s="164"/>
      <c r="O1137" s="164"/>
      <c r="P1137" s="164"/>
      <c r="Q1137" s="164"/>
      <c r="R1137" s="164"/>
    </row>
    <row r="1138" spans="13:18" ht="15" customHeight="1" x14ac:dyDescent="1">
      <c r="M1138" s="164"/>
      <c r="N1138" s="164"/>
      <c r="O1138" s="164"/>
      <c r="P1138" s="164"/>
      <c r="Q1138" s="164"/>
      <c r="R1138" s="164"/>
    </row>
    <row r="1139" spans="13:18" ht="15" customHeight="1" x14ac:dyDescent="1">
      <c r="M1139" s="164"/>
      <c r="N1139" s="164"/>
      <c r="O1139" s="164"/>
      <c r="P1139" s="164"/>
      <c r="Q1139" s="164"/>
      <c r="R1139" s="164"/>
    </row>
    <row r="1140" spans="13:18" ht="15" customHeight="1" x14ac:dyDescent="1">
      <c r="M1140" s="164"/>
      <c r="N1140" s="164"/>
      <c r="O1140" s="164"/>
      <c r="P1140" s="164"/>
      <c r="Q1140" s="164"/>
      <c r="R1140" s="164"/>
    </row>
    <row r="1141" spans="13:18" ht="15" customHeight="1" x14ac:dyDescent="1">
      <c r="M1141" s="164"/>
      <c r="N1141" s="164"/>
      <c r="O1141" s="164"/>
      <c r="P1141" s="164"/>
      <c r="Q1141" s="164"/>
      <c r="R1141" s="164"/>
    </row>
    <row r="1142" spans="13:18" ht="15" customHeight="1" x14ac:dyDescent="1">
      <c r="M1142" s="164"/>
      <c r="N1142" s="164"/>
      <c r="O1142" s="164"/>
      <c r="P1142" s="164"/>
      <c r="Q1142" s="164"/>
      <c r="R1142" s="164"/>
    </row>
    <row r="1143" spans="13:18" ht="15" customHeight="1" x14ac:dyDescent="1">
      <c r="M1143" s="164"/>
      <c r="N1143" s="164"/>
      <c r="O1143" s="164"/>
      <c r="P1143" s="164"/>
      <c r="Q1143" s="164"/>
      <c r="R1143" s="164"/>
    </row>
    <row r="1144" spans="13:18" ht="15" customHeight="1" x14ac:dyDescent="1">
      <c r="M1144" s="164"/>
      <c r="N1144" s="164"/>
      <c r="O1144" s="164"/>
      <c r="P1144" s="164"/>
      <c r="Q1144" s="164"/>
      <c r="R1144" s="164"/>
    </row>
    <row r="1145" spans="13:18" ht="15" customHeight="1" x14ac:dyDescent="1">
      <c r="M1145" s="164"/>
      <c r="N1145" s="164"/>
      <c r="O1145" s="164"/>
      <c r="P1145" s="164"/>
      <c r="Q1145" s="164"/>
      <c r="R1145" s="164"/>
    </row>
    <row r="1146" spans="13:18" ht="15" customHeight="1" x14ac:dyDescent="1">
      <c r="M1146" s="164"/>
      <c r="N1146" s="164"/>
      <c r="O1146" s="164"/>
      <c r="P1146" s="164"/>
      <c r="Q1146" s="164"/>
      <c r="R1146" s="164"/>
    </row>
    <row r="1147" spans="13:18" ht="15" customHeight="1" x14ac:dyDescent="1">
      <c r="M1147" s="164"/>
      <c r="N1147" s="164"/>
      <c r="O1147" s="164"/>
      <c r="P1147" s="164"/>
      <c r="Q1147" s="164"/>
      <c r="R1147" s="164"/>
    </row>
    <row r="1148" spans="13:18" ht="15" customHeight="1" x14ac:dyDescent="1">
      <c r="M1148" s="164"/>
      <c r="N1148" s="164"/>
      <c r="O1148" s="164"/>
      <c r="P1148" s="164"/>
      <c r="Q1148" s="164"/>
      <c r="R1148" s="164"/>
    </row>
    <row r="1149" spans="13:18" ht="15" customHeight="1" x14ac:dyDescent="1">
      <c r="M1149" s="164"/>
      <c r="N1149" s="164"/>
      <c r="O1149" s="164"/>
      <c r="P1149" s="164"/>
      <c r="Q1149" s="164"/>
      <c r="R1149" s="164"/>
    </row>
    <row r="1150" spans="13:18" ht="15" customHeight="1" x14ac:dyDescent="1">
      <c r="M1150" s="164"/>
      <c r="N1150" s="164"/>
      <c r="O1150" s="164"/>
      <c r="P1150" s="164"/>
      <c r="Q1150" s="164"/>
      <c r="R1150" s="164"/>
    </row>
    <row r="1151" spans="13:18" ht="15" customHeight="1" x14ac:dyDescent="1">
      <c r="M1151" s="164"/>
      <c r="N1151" s="164"/>
      <c r="O1151" s="164"/>
      <c r="P1151" s="164"/>
      <c r="Q1151" s="164"/>
      <c r="R1151" s="164"/>
    </row>
    <row r="1152" spans="13:18" ht="15" customHeight="1" x14ac:dyDescent="1">
      <c r="M1152" s="164"/>
      <c r="N1152" s="164"/>
      <c r="O1152" s="164"/>
      <c r="P1152" s="164"/>
      <c r="Q1152" s="164"/>
      <c r="R1152" s="164"/>
    </row>
    <row r="1153" spans="13:18" ht="15" customHeight="1" x14ac:dyDescent="1">
      <c r="M1153" s="164"/>
      <c r="N1153" s="164"/>
      <c r="O1153" s="164"/>
      <c r="P1153" s="164"/>
      <c r="Q1153" s="164"/>
      <c r="R1153" s="164"/>
    </row>
    <row r="1154" spans="13:18" ht="15" customHeight="1" x14ac:dyDescent="1">
      <c r="M1154" s="164"/>
      <c r="N1154" s="164"/>
      <c r="O1154" s="164"/>
      <c r="P1154" s="164"/>
      <c r="Q1154" s="164"/>
      <c r="R1154" s="164"/>
    </row>
    <row r="1155" spans="13:18" ht="15" customHeight="1" x14ac:dyDescent="1">
      <c r="M1155" s="164"/>
      <c r="N1155" s="164"/>
      <c r="O1155" s="164"/>
      <c r="P1155" s="164"/>
      <c r="Q1155" s="164"/>
      <c r="R1155" s="164"/>
    </row>
    <row r="1156" spans="13:18" ht="15" customHeight="1" x14ac:dyDescent="1">
      <c r="M1156" s="164"/>
      <c r="N1156" s="164"/>
      <c r="O1156" s="164"/>
      <c r="P1156" s="164"/>
      <c r="Q1156" s="164"/>
      <c r="R1156" s="164"/>
    </row>
    <row r="1157" spans="13:18" ht="15" customHeight="1" x14ac:dyDescent="1">
      <c r="M1157" s="164"/>
      <c r="N1157" s="164"/>
      <c r="O1157" s="164"/>
      <c r="P1157" s="164"/>
      <c r="Q1157" s="164"/>
      <c r="R1157" s="164"/>
    </row>
    <row r="1158" spans="13:18" ht="15" customHeight="1" x14ac:dyDescent="1">
      <c r="M1158" s="164"/>
      <c r="N1158" s="164"/>
      <c r="O1158" s="164"/>
      <c r="P1158" s="164"/>
      <c r="Q1158" s="164"/>
      <c r="R1158" s="164"/>
    </row>
    <row r="1159" spans="13:18" ht="15" customHeight="1" x14ac:dyDescent="1">
      <c r="M1159" s="164"/>
      <c r="N1159" s="164"/>
      <c r="O1159" s="164"/>
      <c r="P1159" s="164"/>
      <c r="Q1159" s="164"/>
      <c r="R1159" s="164"/>
    </row>
    <row r="1160" spans="13:18" ht="15" customHeight="1" x14ac:dyDescent="1">
      <c r="M1160" s="164"/>
      <c r="N1160" s="164"/>
      <c r="O1160" s="164"/>
      <c r="P1160" s="164"/>
      <c r="Q1160" s="164"/>
      <c r="R1160" s="164"/>
    </row>
    <row r="1161" spans="13:18" ht="15" customHeight="1" x14ac:dyDescent="1">
      <c r="M1161" s="164"/>
      <c r="N1161" s="164"/>
      <c r="O1161" s="164"/>
      <c r="P1161" s="164"/>
      <c r="Q1161" s="164"/>
      <c r="R1161" s="164"/>
    </row>
    <row r="1162" spans="13:18" ht="15" customHeight="1" x14ac:dyDescent="1">
      <c r="M1162" s="164"/>
      <c r="N1162" s="164"/>
      <c r="O1162" s="164"/>
      <c r="P1162" s="164"/>
      <c r="Q1162" s="164"/>
      <c r="R1162" s="164"/>
    </row>
    <row r="1163" spans="13:18" ht="15" customHeight="1" x14ac:dyDescent="1">
      <c r="M1163" s="164"/>
      <c r="N1163" s="164"/>
      <c r="O1163" s="164"/>
      <c r="P1163" s="164"/>
      <c r="Q1163" s="164"/>
      <c r="R1163" s="164"/>
    </row>
    <row r="1164" spans="13:18" ht="15" customHeight="1" x14ac:dyDescent="1">
      <c r="M1164" s="164"/>
      <c r="N1164" s="164"/>
      <c r="O1164" s="164"/>
      <c r="P1164" s="164"/>
      <c r="Q1164" s="164"/>
      <c r="R1164" s="164"/>
    </row>
    <row r="1165" spans="13:18" ht="15" customHeight="1" x14ac:dyDescent="1">
      <c r="M1165" s="164"/>
      <c r="N1165" s="164"/>
      <c r="O1165" s="164"/>
      <c r="P1165" s="164"/>
      <c r="Q1165" s="164"/>
      <c r="R1165" s="164"/>
    </row>
    <row r="1166" spans="13:18" ht="15" customHeight="1" x14ac:dyDescent="1">
      <c r="M1166" s="164"/>
      <c r="N1166" s="164"/>
      <c r="O1166" s="164"/>
      <c r="P1166" s="164"/>
      <c r="Q1166" s="164"/>
      <c r="R1166" s="164"/>
    </row>
    <row r="1167" spans="13:18" ht="15" customHeight="1" x14ac:dyDescent="1">
      <c r="M1167" s="164"/>
      <c r="N1167" s="164"/>
      <c r="O1167" s="164"/>
      <c r="P1167" s="164"/>
      <c r="Q1167" s="164"/>
      <c r="R1167" s="164"/>
    </row>
    <row r="1168" spans="13:18" ht="15" customHeight="1" x14ac:dyDescent="1">
      <c r="M1168" s="164"/>
      <c r="N1168" s="164"/>
      <c r="O1168" s="164"/>
      <c r="P1168" s="164"/>
      <c r="Q1168" s="164"/>
      <c r="R1168" s="164"/>
    </row>
    <row r="1169" spans="13:18" ht="15" customHeight="1" x14ac:dyDescent="1">
      <c r="M1169" s="164"/>
      <c r="N1169" s="164"/>
      <c r="O1169" s="164"/>
      <c r="P1169" s="164"/>
      <c r="Q1169" s="164"/>
      <c r="R1169" s="164"/>
    </row>
    <row r="1170" spans="13:18" ht="15" customHeight="1" x14ac:dyDescent="1">
      <c r="M1170" s="164"/>
      <c r="N1170" s="164"/>
      <c r="O1170" s="164"/>
      <c r="P1170" s="164"/>
      <c r="Q1170" s="164"/>
      <c r="R1170" s="164"/>
    </row>
    <row r="1171" spans="13:18" ht="15" customHeight="1" x14ac:dyDescent="1">
      <c r="M1171" s="164"/>
      <c r="N1171" s="164"/>
      <c r="O1171" s="164"/>
      <c r="P1171" s="164"/>
      <c r="Q1171" s="164"/>
      <c r="R1171" s="164"/>
    </row>
    <row r="1172" spans="13:18" ht="15" customHeight="1" x14ac:dyDescent="1">
      <c r="M1172" s="164"/>
      <c r="N1172" s="164"/>
      <c r="O1172" s="164"/>
      <c r="P1172" s="164"/>
      <c r="Q1172" s="164"/>
      <c r="R1172" s="164"/>
    </row>
    <row r="1173" spans="13:18" ht="15" customHeight="1" x14ac:dyDescent="1">
      <c r="M1173" s="164"/>
      <c r="N1173" s="164"/>
      <c r="O1173" s="164"/>
      <c r="P1173" s="164"/>
      <c r="Q1173" s="164"/>
      <c r="R1173" s="164"/>
    </row>
    <row r="1174" spans="13:18" ht="15" customHeight="1" x14ac:dyDescent="1">
      <c r="M1174" s="164"/>
      <c r="N1174" s="164"/>
      <c r="O1174" s="164"/>
      <c r="P1174" s="164"/>
      <c r="Q1174" s="164"/>
      <c r="R1174" s="164"/>
    </row>
    <row r="1175" spans="13:18" ht="15" customHeight="1" x14ac:dyDescent="1">
      <c r="M1175" s="164"/>
      <c r="N1175" s="164"/>
      <c r="O1175" s="164"/>
      <c r="P1175" s="164"/>
      <c r="Q1175" s="164"/>
      <c r="R1175" s="164"/>
    </row>
    <row r="1176" spans="13:18" ht="15" customHeight="1" x14ac:dyDescent="1">
      <c r="M1176" s="164"/>
      <c r="N1176" s="164"/>
      <c r="O1176" s="164"/>
      <c r="P1176" s="164"/>
      <c r="Q1176" s="164"/>
      <c r="R1176" s="164"/>
    </row>
    <row r="1177" spans="13:18" ht="15" customHeight="1" x14ac:dyDescent="1">
      <c r="M1177" s="164"/>
      <c r="N1177" s="164"/>
      <c r="O1177" s="164"/>
      <c r="P1177" s="164"/>
      <c r="Q1177" s="164"/>
      <c r="R1177" s="164"/>
    </row>
    <row r="1178" spans="13:18" ht="15" customHeight="1" x14ac:dyDescent="1">
      <c r="M1178" s="164"/>
      <c r="N1178" s="164"/>
      <c r="O1178" s="164"/>
      <c r="P1178" s="164"/>
      <c r="Q1178" s="164"/>
      <c r="R1178" s="164"/>
    </row>
    <row r="1179" spans="13:18" ht="15" customHeight="1" x14ac:dyDescent="1">
      <c r="M1179" s="164"/>
      <c r="N1179" s="164"/>
      <c r="O1179" s="164"/>
      <c r="P1179" s="164"/>
      <c r="Q1179" s="164"/>
      <c r="R1179" s="164"/>
    </row>
    <row r="1180" spans="13:18" ht="15" customHeight="1" x14ac:dyDescent="1">
      <c r="M1180" s="164"/>
      <c r="N1180" s="164"/>
      <c r="O1180" s="164"/>
      <c r="P1180" s="164"/>
      <c r="Q1180" s="164"/>
      <c r="R1180" s="164"/>
    </row>
    <row r="1181" spans="13:18" ht="15" customHeight="1" x14ac:dyDescent="1">
      <c r="M1181" s="164"/>
      <c r="N1181" s="164"/>
      <c r="O1181" s="164"/>
      <c r="P1181" s="164"/>
      <c r="Q1181" s="164"/>
      <c r="R1181" s="164"/>
    </row>
    <row r="1182" spans="13:18" ht="15" customHeight="1" x14ac:dyDescent="1">
      <c r="M1182" s="164"/>
      <c r="N1182" s="164"/>
      <c r="O1182" s="164"/>
      <c r="P1182" s="164"/>
      <c r="Q1182" s="164"/>
      <c r="R1182" s="164"/>
    </row>
    <row r="1183" spans="13:18" ht="15" customHeight="1" x14ac:dyDescent="1">
      <c r="M1183" s="164"/>
      <c r="N1183" s="164"/>
      <c r="O1183" s="164"/>
      <c r="P1183" s="164"/>
      <c r="Q1183" s="164"/>
      <c r="R1183" s="164"/>
    </row>
    <row r="1184" spans="13:18" ht="15" customHeight="1" x14ac:dyDescent="1">
      <c r="M1184" s="164"/>
      <c r="N1184" s="164"/>
      <c r="O1184" s="164"/>
      <c r="P1184" s="164"/>
      <c r="Q1184" s="164"/>
      <c r="R1184" s="164"/>
    </row>
    <row r="1185" spans="13:18" ht="15" customHeight="1" x14ac:dyDescent="1">
      <c r="M1185" s="164"/>
      <c r="N1185" s="164"/>
      <c r="O1185" s="164"/>
      <c r="P1185" s="164"/>
      <c r="Q1185" s="164"/>
      <c r="R1185" s="164"/>
    </row>
    <row r="1186" spans="13:18" ht="15" customHeight="1" x14ac:dyDescent="1">
      <c r="M1186" s="164"/>
      <c r="N1186" s="164"/>
      <c r="O1186" s="164"/>
      <c r="P1186" s="164"/>
      <c r="Q1186" s="164"/>
      <c r="R1186" s="164"/>
    </row>
    <row r="1187" spans="13:18" ht="15" customHeight="1" x14ac:dyDescent="1">
      <c r="M1187" s="164"/>
      <c r="N1187" s="164"/>
      <c r="O1187" s="164"/>
      <c r="P1187" s="164"/>
      <c r="Q1187" s="164"/>
      <c r="R1187" s="164"/>
    </row>
    <row r="1188" spans="13:18" ht="15" customHeight="1" x14ac:dyDescent="1">
      <c r="M1188" s="164"/>
      <c r="N1188" s="164"/>
      <c r="O1188" s="164"/>
      <c r="P1188" s="164"/>
      <c r="Q1188" s="164"/>
      <c r="R1188" s="164"/>
    </row>
    <row r="1189" spans="13:18" ht="15" customHeight="1" x14ac:dyDescent="1">
      <c r="M1189" s="164"/>
      <c r="N1189" s="164"/>
      <c r="O1189" s="164"/>
      <c r="P1189" s="164"/>
      <c r="Q1189" s="164"/>
      <c r="R1189" s="164"/>
    </row>
    <row r="1190" spans="13:18" ht="15" customHeight="1" x14ac:dyDescent="1">
      <c r="M1190" s="164"/>
      <c r="N1190" s="164"/>
      <c r="O1190" s="164"/>
      <c r="P1190" s="164"/>
      <c r="Q1190" s="164"/>
      <c r="R1190" s="164"/>
    </row>
    <row r="1191" spans="13:18" ht="15" customHeight="1" x14ac:dyDescent="1">
      <c r="M1191" s="164"/>
      <c r="N1191" s="164"/>
      <c r="O1191" s="164"/>
      <c r="P1191" s="164"/>
      <c r="Q1191" s="164"/>
      <c r="R1191" s="164"/>
    </row>
    <row r="1192" spans="13:18" ht="15" customHeight="1" x14ac:dyDescent="1">
      <c r="M1192" s="164"/>
      <c r="N1192" s="164"/>
      <c r="O1192" s="164"/>
      <c r="P1192" s="164"/>
      <c r="Q1192" s="164"/>
      <c r="R1192" s="164"/>
    </row>
    <row r="1193" spans="13:18" ht="15" customHeight="1" x14ac:dyDescent="1">
      <c r="M1193" s="164"/>
      <c r="N1193" s="164"/>
      <c r="O1193" s="164"/>
      <c r="P1193" s="164"/>
      <c r="Q1193" s="164"/>
      <c r="R1193" s="164"/>
    </row>
    <row r="1194" spans="13:18" ht="15" customHeight="1" x14ac:dyDescent="1">
      <c r="M1194" s="164"/>
      <c r="N1194" s="164"/>
      <c r="O1194" s="164"/>
      <c r="P1194" s="164"/>
      <c r="Q1194" s="164"/>
      <c r="R1194" s="164"/>
    </row>
    <row r="1195" spans="13:18" ht="15" customHeight="1" x14ac:dyDescent="1">
      <c r="M1195" s="164"/>
      <c r="N1195" s="164"/>
      <c r="O1195" s="164"/>
      <c r="P1195" s="164"/>
      <c r="Q1195" s="164"/>
      <c r="R1195" s="164"/>
    </row>
    <row r="1196" spans="13:18" ht="15" customHeight="1" x14ac:dyDescent="1">
      <c r="M1196" s="164"/>
      <c r="N1196" s="164"/>
      <c r="O1196" s="164"/>
      <c r="P1196" s="164"/>
      <c r="Q1196" s="164"/>
      <c r="R1196" s="164"/>
    </row>
    <row r="1197" spans="13:18" ht="15" customHeight="1" x14ac:dyDescent="1">
      <c r="M1197" s="164"/>
      <c r="N1197" s="164"/>
      <c r="O1197" s="164"/>
      <c r="P1197" s="164"/>
      <c r="Q1197" s="164"/>
      <c r="R1197" s="164"/>
    </row>
    <row r="1198" spans="13:18" ht="15" customHeight="1" x14ac:dyDescent="1">
      <c r="M1198" s="164"/>
      <c r="N1198" s="164"/>
      <c r="O1198" s="164"/>
      <c r="P1198" s="164"/>
      <c r="Q1198" s="164"/>
      <c r="R1198" s="164"/>
    </row>
    <row r="1199" spans="13:18" ht="15" customHeight="1" x14ac:dyDescent="1">
      <c r="M1199" s="164"/>
      <c r="N1199" s="164"/>
      <c r="O1199" s="164"/>
      <c r="P1199" s="164"/>
      <c r="Q1199" s="164"/>
      <c r="R1199" s="164"/>
    </row>
    <row r="1200" spans="13:18" ht="15" customHeight="1" x14ac:dyDescent="1">
      <c r="M1200" s="164"/>
      <c r="N1200" s="164"/>
      <c r="O1200" s="164"/>
      <c r="P1200" s="164"/>
      <c r="Q1200" s="164"/>
      <c r="R1200" s="164"/>
    </row>
    <row r="1201" spans="13:18" ht="15" customHeight="1" x14ac:dyDescent="1">
      <c r="M1201" s="164"/>
      <c r="N1201" s="164"/>
      <c r="O1201" s="164"/>
      <c r="P1201" s="164"/>
      <c r="Q1201" s="164"/>
      <c r="R1201" s="164"/>
    </row>
    <row r="1202" spans="13:18" ht="15" customHeight="1" x14ac:dyDescent="1">
      <c r="M1202" s="164"/>
      <c r="N1202" s="164"/>
      <c r="O1202" s="164"/>
      <c r="P1202" s="164"/>
      <c r="Q1202" s="164"/>
      <c r="R1202" s="164"/>
    </row>
    <row r="1203" spans="13:18" ht="15" customHeight="1" x14ac:dyDescent="1">
      <c r="M1203" s="164"/>
      <c r="N1203" s="164"/>
      <c r="O1203" s="164"/>
      <c r="P1203" s="164"/>
      <c r="Q1203" s="164"/>
      <c r="R1203" s="164"/>
    </row>
    <row r="1204" spans="13:18" ht="15" customHeight="1" x14ac:dyDescent="1">
      <c r="M1204" s="164"/>
      <c r="N1204" s="164"/>
      <c r="O1204" s="164"/>
      <c r="P1204" s="164"/>
      <c r="Q1204" s="164"/>
      <c r="R1204" s="164"/>
    </row>
    <row r="1205" spans="13:18" ht="15" customHeight="1" x14ac:dyDescent="1">
      <c r="M1205" s="164"/>
      <c r="N1205" s="164"/>
      <c r="O1205" s="164"/>
      <c r="P1205" s="164"/>
      <c r="Q1205" s="164"/>
      <c r="R1205" s="164"/>
    </row>
    <row r="1206" spans="13:18" ht="15" customHeight="1" x14ac:dyDescent="1">
      <c r="M1206" s="164"/>
      <c r="N1206" s="164"/>
      <c r="O1206" s="164"/>
      <c r="P1206" s="164"/>
      <c r="Q1206" s="164"/>
      <c r="R1206" s="164"/>
    </row>
    <row r="1207" spans="13:18" ht="15" customHeight="1" x14ac:dyDescent="1">
      <c r="M1207" s="164"/>
      <c r="N1207" s="164"/>
      <c r="O1207" s="164"/>
      <c r="P1207" s="164"/>
      <c r="Q1207" s="164"/>
      <c r="R1207" s="164"/>
    </row>
    <row r="1208" spans="13:18" ht="15" customHeight="1" x14ac:dyDescent="1">
      <c r="M1208" s="164"/>
      <c r="N1208" s="164"/>
      <c r="O1208" s="164"/>
      <c r="P1208" s="164"/>
      <c r="Q1208" s="164"/>
      <c r="R1208" s="164"/>
    </row>
    <row r="1209" spans="13:18" ht="15" customHeight="1" x14ac:dyDescent="1">
      <c r="M1209" s="164"/>
      <c r="N1209" s="164"/>
      <c r="O1209" s="164"/>
      <c r="P1209" s="164"/>
      <c r="Q1209" s="164"/>
      <c r="R1209" s="164"/>
    </row>
    <row r="1210" spans="13:18" ht="15" customHeight="1" x14ac:dyDescent="1">
      <c r="M1210" s="164"/>
      <c r="N1210" s="164"/>
      <c r="O1210" s="164"/>
      <c r="P1210" s="164"/>
      <c r="Q1210" s="164"/>
      <c r="R1210" s="164"/>
    </row>
    <row r="1211" spans="13:18" ht="15" customHeight="1" x14ac:dyDescent="1">
      <c r="M1211" s="164"/>
      <c r="N1211" s="164"/>
      <c r="O1211" s="164"/>
      <c r="P1211" s="164"/>
      <c r="Q1211" s="164"/>
      <c r="R1211" s="164"/>
    </row>
    <row r="1212" spans="13:18" ht="15" customHeight="1" x14ac:dyDescent="1">
      <c r="M1212" s="164"/>
      <c r="N1212" s="164"/>
      <c r="O1212" s="164"/>
      <c r="P1212" s="164"/>
      <c r="Q1212" s="164"/>
      <c r="R1212" s="164"/>
    </row>
    <row r="1213" spans="13:18" ht="15" customHeight="1" x14ac:dyDescent="1">
      <c r="M1213" s="164"/>
      <c r="N1213" s="164"/>
      <c r="O1213" s="164"/>
      <c r="P1213" s="164"/>
      <c r="Q1213" s="164"/>
      <c r="R1213" s="164"/>
    </row>
    <row r="1214" spans="13:18" ht="15" customHeight="1" x14ac:dyDescent="1">
      <c r="M1214" s="164"/>
      <c r="N1214" s="164"/>
      <c r="O1214" s="164"/>
      <c r="P1214" s="164"/>
      <c r="Q1214" s="164"/>
      <c r="R1214" s="164"/>
    </row>
    <row r="1215" spans="13:18" ht="15" customHeight="1" x14ac:dyDescent="1">
      <c r="M1215" s="164"/>
      <c r="N1215" s="164"/>
      <c r="O1215" s="164"/>
      <c r="P1215" s="164"/>
      <c r="Q1215" s="164"/>
      <c r="R1215" s="164"/>
    </row>
    <row r="1216" spans="13:18" ht="15" customHeight="1" x14ac:dyDescent="1">
      <c r="M1216" s="164"/>
      <c r="N1216" s="164"/>
      <c r="O1216" s="164"/>
      <c r="P1216" s="164"/>
      <c r="Q1216" s="164"/>
      <c r="R1216" s="164"/>
    </row>
    <row r="1217" spans="13:18" ht="15" customHeight="1" x14ac:dyDescent="1">
      <c r="M1217" s="164"/>
      <c r="N1217" s="164"/>
      <c r="O1217" s="164"/>
      <c r="P1217" s="164"/>
      <c r="Q1217" s="164"/>
      <c r="R1217" s="164"/>
    </row>
    <row r="1218" spans="13:18" ht="15" customHeight="1" x14ac:dyDescent="1">
      <c r="M1218" s="164"/>
      <c r="N1218" s="164"/>
      <c r="O1218" s="164"/>
      <c r="P1218" s="164"/>
      <c r="Q1218" s="164"/>
      <c r="R1218" s="164"/>
    </row>
    <row r="1219" spans="13:18" ht="15" customHeight="1" x14ac:dyDescent="1">
      <c r="M1219" s="164"/>
      <c r="N1219" s="164"/>
      <c r="O1219" s="164"/>
      <c r="P1219" s="164"/>
      <c r="Q1219" s="164"/>
      <c r="R1219" s="164"/>
    </row>
    <row r="1220" spans="13:18" ht="15" customHeight="1" x14ac:dyDescent="1">
      <c r="M1220" s="164"/>
      <c r="N1220" s="164"/>
      <c r="O1220" s="164"/>
      <c r="P1220" s="164"/>
      <c r="Q1220" s="164"/>
      <c r="R1220" s="164"/>
    </row>
    <row r="1221" spans="13:18" ht="15" customHeight="1" x14ac:dyDescent="1">
      <c r="M1221" s="164"/>
      <c r="N1221" s="164"/>
      <c r="O1221" s="164"/>
      <c r="P1221" s="164"/>
      <c r="Q1221" s="164"/>
      <c r="R1221" s="164"/>
    </row>
    <row r="1222" spans="13:18" ht="15" customHeight="1" x14ac:dyDescent="1">
      <c r="M1222" s="164"/>
      <c r="N1222" s="164"/>
      <c r="O1222" s="164"/>
      <c r="P1222" s="164"/>
      <c r="Q1222" s="164"/>
      <c r="R1222" s="164"/>
    </row>
    <row r="1223" spans="13:18" ht="15" customHeight="1" x14ac:dyDescent="1">
      <c r="M1223" s="164"/>
      <c r="N1223" s="164"/>
      <c r="O1223" s="164"/>
      <c r="P1223" s="164"/>
      <c r="Q1223" s="164"/>
      <c r="R1223" s="164"/>
    </row>
    <row r="1224" spans="13:18" ht="15" customHeight="1" x14ac:dyDescent="1">
      <c r="M1224" s="164"/>
      <c r="N1224" s="164"/>
      <c r="O1224" s="164"/>
      <c r="P1224" s="164"/>
      <c r="Q1224" s="164"/>
      <c r="R1224" s="164"/>
    </row>
    <row r="1225" spans="13:18" ht="15" customHeight="1" x14ac:dyDescent="1">
      <c r="M1225" s="164"/>
      <c r="N1225" s="164"/>
      <c r="O1225" s="164"/>
      <c r="P1225" s="164"/>
      <c r="Q1225" s="164"/>
      <c r="R1225" s="164"/>
    </row>
    <row r="1226" spans="13:18" ht="15" customHeight="1" x14ac:dyDescent="1">
      <c r="M1226" s="164"/>
      <c r="N1226" s="164"/>
      <c r="O1226" s="164"/>
      <c r="P1226" s="164"/>
      <c r="Q1226" s="164"/>
      <c r="R1226" s="164"/>
    </row>
    <row r="1227" spans="13:18" ht="15" customHeight="1" x14ac:dyDescent="1">
      <c r="M1227" s="164"/>
      <c r="N1227" s="164"/>
      <c r="O1227" s="164"/>
      <c r="P1227" s="164"/>
      <c r="Q1227" s="164"/>
      <c r="R1227" s="164"/>
    </row>
    <row r="1228" spans="13:18" ht="15" customHeight="1" x14ac:dyDescent="1">
      <c r="M1228" s="164"/>
      <c r="N1228" s="164"/>
      <c r="O1228" s="164"/>
      <c r="P1228" s="164"/>
      <c r="Q1228" s="164"/>
      <c r="R1228" s="164"/>
    </row>
    <row r="1229" spans="13:18" ht="15" customHeight="1" x14ac:dyDescent="1">
      <c r="M1229" s="164"/>
      <c r="N1229" s="164"/>
      <c r="O1229" s="164"/>
      <c r="P1229" s="164"/>
      <c r="Q1229" s="164"/>
      <c r="R1229" s="164"/>
    </row>
    <row r="1230" spans="13:18" ht="15" customHeight="1" x14ac:dyDescent="1">
      <c r="M1230" s="164"/>
      <c r="N1230" s="164"/>
      <c r="O1230" s="164"/>
      <c r="P1230" s="164"/>
      <c r="Q1230" s="164"/>
      <c r="R1230" s="164"/>
    </row>
    <row r="1231" spans="13:18" ht="15" customHeight="1" x14ac:dyDescent="1">
      <c r="M1231" s="164"/>
      <c r="N1231" s="164"/>
      <c r="O1231" s="164"/>
      <c r="P1231" s="164"/>
      <c r="Q1231" s="164"/>
      <c r="R1231" s="164"/>
    </row>
    <row r="1232" spans="13:18" ht="15" customHeight="1" x14ac:dyDescent="1">
      <c r="M1232" s="164"/>
      <c r="N1232" s="164"/>
      <c r="O1232" s="164"/>
      <c r="P1232" s="164"/>
      <c r="Q1232" s="164"/>
      <c r="R1232" s="164"/>
    </row>
    <row r="1233" spans="13:18" ht="15" customHeight="1" x14ac:dyDescent="1">
      <c r="M1233" s="164"/>
      <c r="N1233" s="164"/>
      <c r="O1233" s="164"/>
      <c r="P1233" s="164"/>
      <c r="Q1233" s="164"/>
      <c r="R1233" s="164"/>
    </row>
    <row r="1234" spans="13:18" ht="15" customHeight="1" x14ac:dyDescent="1">
      <c r="M1234" s="164"/>
      <c r="N1234" s="164"/>
      <c r="O1234" s="164"/>
      <c r="P1234" s="164"/>
      <c r="Q1234" s="164"/>
      <c r="R1234" s="164"/>
    </row>
    <row r="1235" spans="13:18" ht="15" customHeight="1" x14ac:dyDescent="1">
      <c r="M1235" s="164"/>
      <c r="N1235" s="164"/>
      <c r="O1235" s="164"/>
      <c r="P1235" s="164"/>
      <c r="Q1235" s="164"/>
      <c r="R1235" s="164"/>
    </row>
    <row r="1236" spans="13:18" ht="15" customHeight="1" x14ac:dyDescent="1">
      <c r="M1236" s="164"/>
      <c r="N1236" s="164"/>
      <c r="O1236" s="164"/>
      <c r="P1236" s="164"/>
      <c r="Q1236" s="164"/>
      <c r="R1236" s="164"/>
    </row>
    <row r="1237" spans="13:18" ht="15" customHeight="1" x14ac:dyDescent="1">
      <c r="M1237" s="164"/>
      <c r="N1237" s="164"/>
      <c r="O1237" s="164"/>
      <c r="P1237" s="164"/>
      <c r="Q1237" s="164"/>
      <c r="R1237" s="164"/>
    </row>
    <row r="1239" spans="13:18" ht="15" customHeight="1" x14ac:dyDescent="1">
      <c r="M1239" s="162"/>
      <c r="N1239" s="162"/>
    </row>
    <row r="1240" spans="13:18" ht="15" customHeight="1" x14ac:dyDescent="1">
      <c r="M1240" s="163"/>
      <c r="N1240" s="163"/>
      <c r="O1240" s="163"/>
      <c r="P1240" s="163"/>
      <c r="Q1240" s="163"/>
      <c r="R1240" s="163"/>
    </row>
    <row r="1241" spans="13:18" ht="15" customHeight="1" x14ac:dyDescent="1">
      <c r="M1241" s="164"/>
      <c r="N1241" s="164"/>
      <c r="O1241" s="164"/>
      <c r="P1241" s="164"/>
      <c r="Q1241" s="164"/>
      <c r="R1241" s="164"/>
    </row>
    <row r="1242" spans="13:18" ht="15" customHeight="1" x14ac:dyDescent="1">
      <c r="M1242" s="164"/>
      <c r="N1242" s="164"/>
      <c r="O1242" s="164"/>
      <c r="P1242" s="164"/>
      <c r="Q1242" s="164"/>
      <c r="R1242" s="164"/>
    </row>
    <row r="1243" spans="13:18" ht="15" customHeight="1" x14ac:dyDescent="1">
      <c r="M1243" s="164"/>
      <c r="N1243" s="164"/>
      <c r="O1243" s="164"/>
      <c r="P1243" s="164"/>
      <c r="Q1243" s="164"/>
      <c r="R1243" s="164"/>
    </row>
    <row r="1244" spans="13:18" ht="15" customHeight="1" x14ac:dyDescent="1">
      <c r="M1244" s="164"/>
      <c r="N1244" s="164"/>
      <c r="O1244" s="164"/>
      <c r="P1244" s="164"/>
      <c r="Q1244" s="164"/>
      <c r="R1244" s="164"/>
    </row>
    <row r="1245" spans="13:18" ht="15" customHeight="1" x14ac:dyDescent="1">
      <c r="M1245" s="164"/>
      <c r="N1245" s="164"/>
      <c r="O1245" s="164"/>
      <c r="P1245" s="164"/>
      <c r="Q1245" s="164"/>
      <c r="R1245" s="164"/>
    </row>
    <row r="1246" spans="13:18" ht="15" customHeight="1" x14ac:dyDescent="1">
      <c r="M1246" s="164"/>
      <c r="N1246" s="164"/>
      <c r="O1246" s="164"/>
      <c r="P1246" s="164"/>
      <c r="Q1246" s="164"/>
      <c r="R1246" s="164"/>
    </row>
    <row r="1247" spans="13:18" ht="15" customHeight="1" x14ac:dyDescent="1">
      <c r="M1247" s="164"/>
      <c r="N1247" s="164"/>
      <c r="O1247" s="164"/>
      <c r="P1247" s="164"/>
      <c r="Q1247" s="164"/>
      <c r="R1247" s="164"/>
    </row>
    <row r="1248" spans="13:18" ht="15" customHeight="1" x14ac:dyDescent="1">
      <c r="M1248" s="164"/>
      <c r="N1248" s="164"/>
      <c r="O1248" s="164"/>
      <c r="P1248" s="164"/>
      <c r="Q1248" s="164"/>
      <c r="R1248" s="164"/>
    </row>
    <row r="1249" spans="13:18" ht="15" customHeight="1" x14ac:dyDescent="1">
      <c r="M1249" s="164"/>
      <c r="N1249" s="164"/>
      <c r="O1249" s="164"/>
      <c r="P1249" s="164"/>
      <c r="Q1249" s="164"/>
      <c r="R1249" s="164"/>
    </row>
    <row r="1250" spans="13:18" ht="15" customHeight="1" x14ac:dyDescent="1">
      <c r="M1250" s="164"/>
      <c r="N1250" s="164"/>
      <c r="O1250" s="164"/>
      <c r="P1250" s="164"/>
      <c r="Q1250" s="164"/>
      <c r="R1250" s="164"/>
    </row>
    <row r="1251" spans="13:18" ht="15" customHeight="1" x14ac:dyDescent="1">
      <c r="M1251" s="164"/>
      <c r="N1251" s="164"/>
      <c r="O1251" s="164"/>
      <c r="P1251" s="164"/>
      <c r="Q1251" s="164"/>
      <c r="R1251" s="164"/>
    </row>
    <row r="1252" spans="13:18" ht="15" customHeight="1" x14ac:dyDescent="1">
      <c r="M1252" s="164"/>
      <c r="N1252" s="164"/>
      <c r="O1252" s="164"/>
      <c r="P1252" s="164"/>
      <c r="Q1252" s="164"/>
      <c r="R1252" s="164"/>
    </row>
    <row r="1253" spans="13:18" ht="15" customHeight="1" x14ac:dyDescent="1">
      <c r="M1253" s="164"/>
      <c r="N1253" s="164"/>
      <c r="O1253" s="164"/>
      <c r="P1253" s="164"/>
      <c r="Q1253" s="164"/>
      <c r="R1253" s="164"/>
    </row>
    <row r="1254" spans="13:18" ht="15" customHeight="1" x14ac:dyDescent="1">
      <c r="M1254" s="164"/>
      <c r="N1254" s="164"/>
      <c r="O1254" s="164"/>
      <c r="P1254" s="164"/>
      <c r="Q1254" s="164"/>
      <c r="R1254" s="164"/>
    </row>
    <row r="1255" spans="13:18" ht="15" customHeight="1" x14ac:dyDescent="1">
      <c r="M1255" s="164"/>
      <c r="N1255" s="164"/>
      <c r="O1255" s="164"/>
      <c r="P1255" s="164"/>
      <c r="Q1255" s="164"/>
      <c r="R1255" s="164"/>
    </row>
    <row r="1256" spans="13:18" ht="15" customHeight="1" x14ac:dyDescent="1">
      <c r="M1256" s="164"/>
      <c r="N1256" s="164"/>
      <c r="O1256" s="164"/>
      <c r="P1256" s="164"/>
      <c r="Q1256" s="164"/>
      <c r="R1256" s="164"/>
    </row>
    <row r="1257" spans="13:18" ht="15" customHeight="1" x14ac:dyDescent="1">
      <c r="M1257" s="164"/>
      <c r="N1257" s="164"/>
      <c r="O1257" s="164"/>
      <c r="P1257" s="164"/>
      <c r="Q1257" s="164"/>
      <c r="R1257" s="164"/>
    </row>
    <row r="1258" spans="13:18" ht="15" customHeight="1" x14ac:dyDescent="1">
      <c r="M1258" s="164"/>
      <c r="N1258" s="164"/>
      <c r="O1258" s="164"/>
      <c r="P1258" s="164"/>
      <c r="Q1258" s="164"/>
      <c r="R1258" s="164"/>
    </row>
    <row r="1259" spans="13:18" ht="15" customHeight="1" x14ac:dyDescent="1">
      <c r="M1259" s="164"/>
      <c r="N1259" s="164"/>
      <c r="O1259" s="164"/>
      <c r="P1259" s="164"/>
      <c r="Q1259" s="164"/>
      <c r="R1259" s="164"/>
    </row>
    <row r="1260" spans="13:18" ht="15" customHeight="1" x14ac:dyDescent="1">
      <c r="M1260" s="164"/>
      <c r="N1260" s="164"/>
      <c r="O1260" s="164"/>
      <c r="P1260" s="164"/>
      <c r="Q1260" s="164"/>
      <c r="R1260" s="164"/>
    </row>
    <row r="1261" spans="13:18" ht="15" customHeight="1" x14ac:dyDescent="1">
      <c r="M1261" s="164"/>
      <c r="N1261" s="164"/>
      <c r="O1261" s="164"/>
      <c r="P1261" s="164"/>
      <c r="Q1261" s="164"/>
      <c r="R1261" s="164"/>
    </row>
    <row r="1262" spans="13:18" ht="15" customHeight="1" x14ac:dyDescent="1">
      <c r="M1262" s="164"/>
      <c r="N1262" s="164"/>
      <c r="O1262" s="164"/>
      <c r="P1262" s="164"/>
      <c r="Q1262" s="164"/>
      <c r="R1262" s="164"/>
    </row>
    <row r="1263" spans="13:18" ht="15" customHeight="1" x14ac:dyDescent="1">
      <c r="M1263" s="164"/>
      <c r="N1263" s="164"/>
      <c r="O1263" s="164"/>
      <c r="P1263" s="164"/>
      <c r="Q1263" s="164"/>
      <c r="R1263" s="164"/>
    </row>
    <row r="1264" spans="13:18" ht="15" customHeight="1" x14ac:dyDescent="1">
      <c r="M1264" s="164"/>
      <c r="N1264" s="164"/>
      <c r="O1264" s="164"/>
      <c r="P1264" s="164"/>
      <c r="Q1264" s="164"/>
      <c r="R1264" s="164"/>
    </row>
    <row r="1265" spans="13:18" ht="15" customHeight="1" x14ac:dyDescent="1">
      <c r="M1265" s="164"/>
      <c r="N1265" s="164"/>
      <c r="O1265" s="164"/>
      <c r="P1265" s="164"/>
      <c r="Q1265" s="164"/>
      <c r="R1265" s="164"/>
    </row>
    <row r="1266" spans="13:18" ht="15" customHeight="1" x14ac:dyDescent="1">
      <c r="M1266" s="164"/>
      <c r="N1266" s="164"/>
      <c r="O1266" s="164"/>
      <c r="P1266" s="164"/>
      <c r="Q1266" s="164"/>
      <c r="R1266" s="164"/>
    </row>
    <row r="1267" spans="13:18" ht="15" customHeight="1" x14ac:dyDescent="1">
      <c r="M1267" s="164"/>
      <c r="N1267" s="164"/>
      <c r="O1267" s="164"/>
      <c r="P1267" s="164"/>
      <c r="Q1267" s="164"/>
      <c r="R1267" s="164"/>
    </row>
    <row r="1268" spans="13:18" ht="15" customHeight="1" x14ac:dyDescent="1">
      <c r="M1268" s="164"/>
      <c r="N1268" s="164"/>
      <c r="O1268" s="164"/>
      <c r="P1268" s="164"/>
      <c r="Q1268" s="164"/>
      <c r="R1268" s="164"/>
    </row>
    <row r="1269" spans="13:18" ht="15" customHeight="1" x14ac:dyDescent="1">
      <c r="M1269" s="164"/>
      <c r="N1269" s="164"/>
      <c r="O1269" s="164"/>
      <c r="P1269" s="164"/>
      <c r="Q1269" s="164"/>
      <c r="R1269" s="164"/>
    </row>
    <row r="1270" spans="13:18" ht="15" customHeight="1" x14ac:dyDescent="1">
      <c r="M1270" s="164"/>
      <c r="N1270" s="164"/>
      <c r="O1270" s="164"/>
      <c r="P1270" s="164"/>
      <c r="Q1270" s="164"/>
      <c r="R1270" s="164"/>
    </row>
    <row r="1271" spans="13:18" ht="15" customHeight="1" x14ac:dyDescent="1">
      <c r="M1271" s="164"/>
      <c r="N1271" s="164"/>
      <c r="O1271" s="164"/>
      <c r="P1271" s="164"/>
      <c r="Q1271" s="164"/>
      <c r="R1271" s="164"/>
    </row>
    <row r="1272" spans="13:18" ht="15" customHeight="1" x14ac:dyDescent="1">
      <c r="M1272" s="164"/>
      <c r="N1272" s="164"/>
      <c r="O1272" s="164"/>
      <c r="P1272" s="164"/>
      <c r="Q1272" s="164"/>
      <c r="R1272" s="164"/>
    </row>
    <row r="1273" spans="13:18" ht="15" customHeight="1" x14ac:dyDescent="1">
      <c r="M1273" s="164"/>
      <c r="N1273" s="164"/>
      <c r="O1273" s="164"/>
      <c r="P1273" s="164"/>
      <c r="Q1273" s="164"/>
      <c r="R1273" s="164"/>
    </row>
    <row r="1274" spans="13:18" ht="15" customHeight="1" x14ac:dyDescent="1">
      <c r="M1274" s="164"/>
      <c r="N1274" s="164"/>
      <c r="O1274" s="164"/>
      <c r="P1274" s="164"/>
      <c r="Q1274" s="164"/>
      <c r="R1274" s="164"/>
    </row>
    <row r="1275" spans="13:18" ht="15" customHeight="1" x14ac:dyDescent="1">
      <c r="M1275" s="164"/>
      <c r="N1275" s="164"/>
      <c r="O1275" s="164"/>
      <c r="P1275" s="164"/>
      <c r="Q1275" s="164"/>
      <c r="R1275" s="164"/>
    </row>
    <row r="1276" spans="13:18" ht="15" customHeight="1" x14ac:dyDescent="1">
      <c r="M1276" s="164"/>
      <c r="N1276" s="164"/>
      <c r="O1276" s="164"/>
      <c r="P1276" s="164"/>
      <c r="Q1276" s="164"/>
      <c r="R1276" s="164"/>
    </row>
    <row r="1277" spans="13:18" ht="15" customHeight="1" x14ac:dyDescent="1">
      <c r="M1277" s="164"/>
      <c r="N1277" s="164"/>
      <c r="O1277" s="164"/>
      <c r="P1277" s="164"/>
      <c r="Q1277" s="164"/>
      <c r="R1277" s="164"/>
    </row>
    <row r="1278" spans="13:18" ht="15" customHeight="1" x14ac:dyDescent="1">
      <c r="M1278" s="164"/>
      <c r="N1278" s="164"/>
      <c r="O1278" s="164"/>
      <c r="P1278" s="164"/>
      <c r="Q1278" s="164"/>
      <c r="R1278" s="164"/>
    </row>
    <row r="1279" spans="13:18" ht="15" customHeight="1" x14ac:dyDescent="1">
      <c r="M1279" s="164"/>
      <c r="N1279" s="164"/>
      <c r="O1279" s="164"/>
      <c r="P1279" s="164"/>
      <c r="Q1279" s="164"/>
      <c r="R1279" s="164"/>
    </row>
    <row r="1280" spans="13:18" ht="15" customHeight="1" x14ac:dyDescent="1">
      <c r="M1280" s="164"/>
      <c r="N1280" s="164"/>
      <c r="O1280" s="164"/>
      <c r="P1280" s="164"/>
      <c r="Q1280" s="164"/>
      <c r="R1280" s="164"/>
    </row>
    <row r="1281" spans="13:18" ht="15" customHeight="1" x14ac:dyDescent="1">
      <c r="M1281" s="164"/>
      <c r="N1281" s="164"/>
      <c r="O1281" s="164"/>
      <c r="P1281" s="164"/>
      <c r="Q1281" s="164"/>
      <c r="R1281" s="164"/>
    </row>
    <row r="1282" spans="13:18" ht="15" customHeight="1" x14ac:dyDescent="1">
      <c r="M1282" s="164"/>
      <c r="N1282" s="164"/>
      <c r="O1282" s="164"/>
      <c r="P1282" s="164"/>
      <c r="Q1282" s="164"/>
      <c r="R1282" s="164"/>
    </row>
    <row r="1283" spans="13:18" ht="15" customHeight="1" x14ac:dyDescent="1">
      <c r="M1283" s="164"/>
      <c r="N1283" s="164"/>
      <c r="O1283" s="164"/>
      <c r="P1283" s="164"/>
      <c r="Q1283" s="164"/>
      <c r="R1283" s="164"/>
    </row>
    <row r="1284" spans="13:18" ht="15" customHeight="1" x14ac:dyDescent="1">
      <c r="M1284" s="164"/>
      <c r="N1284" s="164"/>
      <c r="O1284" s="164"/>
      <c r="P1284" s="164"/>
      <c r="Q1284" s="164"/>
      <c r="R1284" s="164"/>
    </row>
    <row r="1285" spans="13:18" ht="15" customHeight="1" x14ac:dyDescent="1">
      <c r="M1285" s="164"/>
      <c r="N1285" s="164"/>
      <c r="O1285" s="164"/>
      <c r="P1285" s="164"/>
      <c r="Q1285" s="164"/>
      <c r="R1285" s="164"/>
    </row>
    <row r="1286" spans="13:18" ht="15" customHeight="1" x14ac:dyDescent="1">
      <c r="M1286" s="164"/>
      <c r="N1286" s="164"/>
      <c r="O1286" s="164"/>
      <c r="P1286" s="164"/>
      <c r="Q1286" s="164"/>
      <c r="R1286" s="164"/>
    </row>
    <row r="1287" spans="13:18" ht="15" customHeight="1" x14ac:dyDescent="1">
      <c r="M1287" s="164"/>
      <c r="N1287" s="164"/>
      <c r="O1287" s="164"/>
      <c r="P1287" s="164"/>
      <c r="Q1287" s="164"/>
      <c r="R1287" s="164"/>
    </row>
    <row r="1288" spans="13:18" ht="15" customHeight="1" x14ac:dyDescent="1">
      <c r="M1288" s="164"/>
      <c r="N1288" s="164"/>
      <c r="O1288" s="164"/>
      <c r="P1288" s="164"/>
      <c r="Q1288" s="164"/>
      <c r="R1288" s="164"/>
    </row>
    <row r="1289" spans="13:18" ht="15" customHeight="1" x14ac:dyDescent="1">
      <c r="M1289" s="164"/>
      <c r="N1289" s="164"/>
      <c r="O1289" s="164"/>
      <c r="P1289" s="164"/>
      <c r="Q1289" s="164"/>
      <c r="R1289" s="164"/>
    </row>
    <row r="1290" spans="13:18" ht="15" customHeight="1" x14ac:dyDescent="1">
      <c r="M1290" s="164"/>
      <c r="N1290" s="164"/>
      <c r="O1290" s="164"/>
      <c r="P1290" s="164"/>
      <c r="Q1290" s="164"/>
      <c r="R1290" s="164"/>
    </row>
    <row r="1291" spans="13:18" ht="15" customHeight="1" x14ac:dyDescent="1">
      <c r="M1291" s="164"/>
      <c r="N1291" s="164"/>
      <c r="O1291" s="164"/>
      <c r="P1291" s="164"/>
      <c r="Q1291" s="164"/>
      <c r="R1291" s="164"/>
    </row>
    <row r="1292" spans="13:18" ht="15" customHeight="1" x14ac:dyDescent="1">
      <c r="M1292" s="164"/>
      <c r="N1292" s="164"/>
      <c r="O1292" s="164"/>
      <c r="P1292" s="164"/>
      <c r="Q1292" s="164"/>
      <c r="R1292" s="164"/>
    </row>
    <row r="1293" spans="13:18" ht="15" customHeight="1" x14ac:dyDescent="1">
      <c r="M1293" s="164"/>
      <c r="N1293" s="164"/>
      <c r="O1293" s="164"/>
      <c r="P1293" s="164"/>
      <c r="Q1293" s="164"/>
      <c r="R1293" s="164"/>
    </row>
    <row r="1294" spans="13:18" ht="15" customHeight="1" x14ac:dyDescent="1">
      <c r="M1294" s="164"/>
      <c r="N1294" s="164"/>
      <c r="O1294" s="164"/>
      <c r="P1294" s="164"/>
      <c r="Q1294" s="164"/>
      <c r="R1294" s="164"/>
    </row>
    <row r="1295" spans="13:18" ht="15" customHeight="1" x14ac:dyDescent="1">
      <c r="M1295" s="164"/>
      <c r="N1295" s="164"/>
      <c r="O1295" s="164"/>
      <c r="P1295" s="164"/>
      <c r="Q1295" s="164"/>
      <c r="R1295" s="164"/>
    </row>
    <row r="1296" spans="13:18" ht="15" customHeight="1" x14ac:dyDescent="1">
      <c r="M1296" s="164"/>
      <c r="N1296" s="164"/>
      <c r="O1296" s="164"/>
      <c r="P1296" s="164"/>
      <c r="Q1296" s="164"/>
      <c r="R1296" s="164"/>
    </row>
    <row r="1297" spans="13:18" ht="15" customHeight="1" x14ac:dyDescent="1">
      <c r="M1297" s="164"/>
      <c r="N1297" s="164"/>
      <c r="O1297" s="164"/>
      <c r="P1297" s="164"/>
      <c r="Q1297" s="164"/>
      <c r="R1297" s="164"/>
    </row>
    <row r="1298" spans="13:18" ht="15" customHeight="1" x14ac:dyDescent="1">
      <c r="M1298" s="164"/>
      <c r="N1298" s="164"/>
      <c r="O1298" s="164"/>
      <c r="P1298" s="164"/>
      <c r="Q1298" s="164"/>
      <c r="R1298" s="164"/>
    </row>
    <row r="1299" spans="13:18" ht="15" customHeight="1" x14ac:dyDescent="1">
      <c r="M1299" s="164"/>
      <c r="N1299" s="164"/>
      <c r="O1299" s="164"/>
      <c r="P1299" s="164"/>
      <c r="Q1299" s="164"/>
      <c r="R1299" s="164"/>
    </row>
    <row r="1300" spans="13:18" ht="15" customHeight="1" x14ac:dyDescent="1">
      <c r="M1300" s="164"/>
      <c r="N1300" s="164"/>
      <c r="O1300" s="164"/>
      <c r="P1300" s="164"/>
      <c r="Q1300" s="164"/>
      <c r="R1300" s="164"/>
    </row>
    <row r="1301" spans="13:18" ht="15" customHeight="1" x14ac:dyDescent="1">
      <c r="M1301" s="164"/>
      <c r="N1301" s="164"/>
      <c r="O1301" s="164"/>
      <c r="P1301" s="164"/>
      <c r="Q1301" s="164"/>
      <c r="R1301" s="164"/>
    </row>
    <row r="1302" spans="13:18" ht="15" customHeight="1" x14ac:dyDescent="1">
      <c r="M1302" s="164"/>
      <c r="N1302" s="164"/>
      <c r="O1302" s="164"/>
      <c r="P1302" s="164"/>
      <c r="Q1302" s="164"/>
      <c r="R1302" s="164"/>
    </row>
    <row r="1303" spans="13:18" ht="15" customHeight="1" x14ac:dyDescent="1">
      <c r="M1303" s="164"/>
      <c r="N1303" s="164"/>
      <c r="O1303" s="164"/>
      <c r="P1303" s="164"/>
      <c r="Q1303" s="164"/>
      <c r="R1303" s="164"/>
    </row>
    <row r="1304" spans="13:18" ht="15" customHeight="1" x14ac:dyDescent="1">
      <c r="M1304" s="164"/>
      <c r="N1304" s="164"/>
      <c r="O1304" s="164"/>
      <c r="P1304" s="164"/>
      <c r="Q1304" s="164"/>
      <c r="R1304" s="164"/>
    </row>
    <row r="1305" spans="13:18" ht="15" customHeight="1" x14ac:dyDescent="1">
      <c r="M1305" s="164"/>
      <c r="N1305" s="164"/>
      <c r="O1305" s="164"/>
      <c r="P1305" s="164"/>
      <c r="Q1305" s="164"/>
      <c r="R1305" s="164"/>
    </row>
    <row r="1306" spans="13:18" ht="15" customHeight="1" x14ac:dyDescent="1">
      <c r="M1306" s="164"/>
      <c r="N1306" s="164"/>
      <c r="O1306" s="164"/>
      <c r="P1306" s="164"/>
      <c r="Q1306" s="164"/>
      <c r="R1306" s="164"/>
    </row>
    <row r="1307" spans="13:18" ht="15" customHeight="1" x14ac:dyDescent="1">
      <c r="M1307" s="164"/>
      <c r="N1307" s="164"/>
      <c r="O1307" s="164"/>
      <c r="P1307" s="164"/>
      <c r="Q1307" s="164"/>
      <c r="R1307" s="164"/>
    </row>
    <row r="1308" spans="13:18" ht="15" customHeight="1" x14ac:dyDescent="1">
      <c r="M1308" s="164"/>
      <c r="N1308" s="164"/>
      <c r="O1308" s="164"/>
      <c r="P1308" s="164"/>
      <c r="Q1308" s="164"/>
      <c r="R1308" s="164"/>
    </row>
    <row r="1309" spans="13:18" ht="15" customHeight="1" x14ac:dyDescent="1">
      <c r="M1309" s="164"/>
      <c r="N1309" s="164"/>
      <c r="O1309" s="164"/>
      <c r="P1309" s="164"/>
      <c r="Q1309" s="164"/>
      <c r="R1309" s="164"/>
    </row>
    <row r="1310" spans="13:18" ht="15" customHeight="1" x14ac:dyDescent="1">
      <c r="M1310" s="164"/>
      <c r="N1310" s="164"/>
      <c r="O1310" s="164"/>
      <c r="P1310" s="164"/>
      <c r="Q1310" s="164"/>
      <c r="R1310" s="164"/>
    </row>
    <row r="1311" spans="13:18" ht="15" customHeight="1" x14ac:dyDescent="1">
      <c r="M1311" s="164"/>
      <c r="N1311" s="164"/>
      <c r="O1311" s="164"/>
      <c r="P1311" s="164"/>
      <c r="Q1311" s="164"/>
      <c r="R1311" s="164"/>
    </row>
    <row r="1312" spans="13:18" ht="15" customHeight="1" x14ac:dyDescent="1">
      <c r="M1312" s="164"/>
      <c r="N1312" s="164"/>
      <c r="O1312" s="164"/>
      <c r="P1312" s="164"/>
      <c r="Q1312" s="164"/>
      <c r="R1312" s="164"/>
    </row>
    <row r="1313" spans="13:18" ht="15" customHeight="1" x14ac:dyDescent="1">
      <c r="M1313" s="164"/>
      <c r="N1313" s="164"/>
      <c r="O1313" s="164"/>
      <c r="P1313" s="164"/>
      <c r="Q1313" s="164"/>
      <c r="R1313" s="164"/>
    </row>
    <row r="1314" spans="13:18" ht="15" customHeight="1" x14ac:dyDescent="1">
      <c r="M1314" s="164"/>
      <c r="N1314" s="164"/>
      <c r="O1314" s="164"/>
      <c r="P1314" s="164"/>
      <c r="Q1314" s="164"/>
      <c r="R1314" s="164"/>
    </row>
    <row r="1315" spans="13:18" ht="15" customHeight="1" x14ac:dyDescent="1">
      <c r="M1315" s="164"/>
      <c r="N1315" s="164"/>
      <c r="O1315" s="164"/>
      <c r="P1315" s="164"/>
      <c r="Q1315" s="164"/>
      <c r="R1315" s="164"/>
    </row>
    <row r="1316" spans="13:18" ht="15" customHeight="1" x14ac:dyDescent="1">
      <c r="M1316" s="164"/>
      <c r="N1316" s="164"/>
      <c r="O1316" s="164"/>
      <c r="P1316" s="164"/>
      <c r="Q1316" s="164"/>
      <c r="R1316" s="164"/>
    </row>
    <row r="1317" spans="13:18" ht="15" customHeight="1" x14ac:dyDescent="1">
      <c r="M1317" s="164"/>
      <c r="N1317" s="164"/>
      <c r="O1317" s="164"/>
      <c r="P1317" s="164"/>
      <c r="Q1317" s="164"/>
      <c r="R1317" s="164"/>
    </row>
    <row r="1318" spans="13:18" ht="15" customHeight="1" x14ac:dyDescent="1">
      <c r="M1318" s="164"/>
      <c r="N1318" s="164"/>
      <c r="O1318" s="164"/>
      <c r="P1318" s="164"/>
      <c r="Q1318" s="164"/>
      <c r="R1318" s="164"/>
    </row>
    <row r="1319" spans="13:18" ht="15" customHeight="1" x14ac:dyDescent="1">
      <c r="M1319" s="164"/>
      <c r="N1319" s="164"/>
      <c r="O1319" s="164"/>
      <c r="P1319" s="164"/>
      <c r="Q1319" s="164"/>
      <c r="R1319" s="164"/>
    </row>
    <row r="1320" spans="13:18" ht="15" customHeight="1" x14ac:dyDescent="1">
      <c r="M1320" s="164"/>
      <c r="N1320" s="164"/>
      <c r="O1320" s="164"/>
      <c r="P1320" s="164"/>
      <c r="Q1320" s="164"/>
      <c r="R1320" s="164"/>
    </row>
    <row r="1321" spans="13:18" ht="15" customHeight="1" x14ac:dyDescent="1">
      <c r="M1321" s="164"/>
      <c r="N1321" s="164"/>
      <c r="O1321" s="164"/>
      <c r="P1321" s="164"/>
      <c r="Q1321" s="164"/>
      <c r="R1321" s="164"/>
    </row>
    <row r="1322" spans="13:18" ht="15" customHeight="1" x14ac:dyDescent="1">
      <c r="M1322" s="164"/>
      <c r="N1322" s="164"/>
      <c r="O1322" s="164"/>
      <c r="P1322" s="164"/>
      <c r="Q1322" s="164"/>
      <c r="R1322" s="164"/>
    </row>
    <row r="1323" spans="13:18" ht="15" customHeight="1" x14ac:dyDescent="1">
      <c r="M1323" s="164"/>
      <c r="N1323" s="164"/>
      <c r="O1323" s="164"/>
      <c r="P1323" s="164"/>
      <c r="Q1323" s="164"/>
      <c r="R1323" s="164"/>
    </row>
    <row r="1324" spans="13:18" ht="15" customHeight="1" x14ac:dyDescent="1">
      <c r="M1324" s="164"/>
      <c r="N1324" s="164"/>
      <c r="O1324" s="164"/>
      <c r="P1324" s="164"/>
      <c r="Q1324" s="164"/>
      <c r="R1324" s="164"/>
    </row>
    <row r="1325" spans="13:18" ht="15" customHeight="1" x14ac:dyDescent="1">
      <c r="M1325" s="164"/>
      <c r="N1325" s="164"/>
      <c r="O1325" s="164"/>
      <c r="P1325" s="164"/>
      <c r="Q1325" s="164"/>
      <c r="R1325" s="164"/>
    </row>
    <row r="1326" spans="13:18" ht="15" customHeight="1" x14ac:dyDescent="1">
      <c r="M1326" s="164"/>
      <c r="N1326" s="164"/>
      <c r="O1326" s="164"/>
      <c r="P1326" s="164"/>
      <c r="Q1326" s="164"/>
      <c r="R1326" s="164"/>
    </row>
    <row r="1327" spans="13:18" ht="15" customHeight="1" x14ac:dyDescent="1">
      <c r="M1327" s="164"/>
      <c r="N1327" s="164"/>
      <c r="O1327" s="164"/>
      <c r="P1327" s="164"/>
      <c r="Q1327" s="164"/>
      <c r="R1327" s="164"/>
    </row>
    <row r="1328" spans="13:18" ht="15" customHeight="1" x14ac:dyDescent="1">
      <c r="M1328" s="164"/>
      <c r="N1328" s="164"/>
      <c r="O1328" s="164"/>
      <c r="P1328" s="164"/>
      <c r="Q1328" s="164"/>
      <c r="R1328" s="164"/>
    </row>
    <row r="1329" spans="13:18" ht="15" customHeight="1" x14ac:dyDescent="1">
      <c r="M1329" s="164"/>
      <c r="N1329" s="164"/>
      <c r="O1329" s="164"/>
      <c r="P1329" s="164"/>
      <c r="Q1329" s="164"/>
      <c r="R1329" s="164"/>
    </row>
    <row r="1330" spans="13:18" ht="15" customHeight="1" x14ac:dyDescent="1">
      <c r="M1330" s="164"/>
      <c r="N1330" s="164"/>
      <c r="O1330" s="164"/>
      <c r="P1330" s="164"/>
      <c r="Q1330" s="164"/>
      <c r="R1330" s="164"/>
    </row>
    <row r="1331" spans="13:18" ht="15" customHeight="1" x14ac:dyDescent="1">
      <c r="M1331" s="164"/>
      <c r="N1331" s="164"/>
      <c r="O1331" s="164"/>
      <c r="P1331" s="164"/>
      <c r="Q1331" s="164"/>
      <c r="R1331" s="164"/>
    </row>
    <row r="1332" spans="13:18" ht="15" customHeight="1" x14ac:dyDescent="1">
      <c r="M1332" s="164"/>
      <c r="N1332" s="164"/>
      <c r="O1332" s="164"/>
      <c r="P1332" s="164"/>
      <c r="Q1332" s="164"/>
      <c r="R1332" s="164"/>
    </row>
    <row r="1333" spans="13:18" ht="15" customHeight="1" x14ac:dyDescent="1">
      <c r="M1333" s="164"/>
      <c r="N1333" s="164"/>
      <c r="O1333" s="164"/>
      <c r="P1333" s="164"/>
      <c r="Q1333" s="164"/>
      <c r="R1333" s="164"/>
    </row>
    <row r="1334" spans="13:18" ht="15" customHeight="1" x14ac:dyDescent="1">
      <c r="M1334" s="164"/>
      <c r="N1334" s="164"/>
      <c r="O1334" s="164"/>
      <c r="P1334" s="164"/>
      <c r="Q1334" s="164"/>
      <c r="R1334" s="164"/>
    </row>
    <row r="1335" spans="13:18" ht="15" customHeight="1" x14ac:dyDescent="1">
      <c r="M1335" s="164"/>
      <c r="N1335" s="164"/>
      <c r="O1335" s="164"/>
      <c r="P1335" s="164"/>
      <c r="Q1335" s="164"/>
      <c r="R1335" s="164"/>
    </row>
    <row r="1336" spans="13:18" ht="15" customHeight="1" x14ac:dyDescent="1">
      <c r="M1336" s="164"/>
      <c r="N1336" s="164"/>
      <c r="O1336" s="164"/>
      <c r="P1336" s="164"/>
      <c r="Q1336" s="164"/>
      <c r="R1336" s="164"/>
    </row>
    <row r="1337" spans="13:18" ht="15" customHeight="1" x14ac:dyDescent="1">
      <c r="M1337" s="164"/>
      <c r="N1337" s="164"/>
      <c r="O1337" s="164"/>
      <c r="P1337" s="164"/>
      <c r="Q1337" s="164"/>
      <c r="R1337" s="164"/>
    </row>
    <row r="1338" spans="13:18" ht="15" customHeight="1" x14ac:dyDescent="1">
      <c r="M1338" s="164"/>
      <c r="N1338" s="164"/>
      <c r="O1338" s="164"/>
      <c r="P1338" s="164"/>
      <c r="Q1338" s="164"/>
      <c r="R1338" s="164"/>
    </row>
    <row r="1339" spans="13:18" ht="15" customHeight="1" x14ac:dyDescent="1">
      <c r="M1339" s="164"/>
      <c r="N1339" s="164"/>
      <c r="O1339" s="164"/>
      <c r="P1339" s="164"/>
      <c r="Q1339" s="164"/>
      <c r="R1339" s="164"/>
    </row>
    <row r="1340" spans="13:18" ht="15" customHeight="1" x14ac:dyDescent="1">
      <c r="M1340" s="164"/>
      <c r="N1340" s="164"/>
      <c r="O1340" s="164"/>
      <c r="P1340" s="164"/>
      <c r="Q1340" s="164"/>
      <c r="R1340" s="164"/>
    </row>
    <row r="1341" spans="13:18" ht="15" customHeight="1" x14ac:dyDescent="1">
      <c r="M1341" s="164"/>
      <c r="N1341" s="164"/>
      <c r="O1341" s="164"/>
      <c r="P1341" s="164"/>
      <c r="Q1341" s="164"/>
      <c r="R1341" s="164"/>
    </row>
    <row r="1342" spans="13:18" ht="15" customHeight="1" x14ac:dyDescent="1">
      <c r="M1342" s="164"/>
      <c r="N1342" s="164"/>
      <c r="O1342" s="164"/>
      <c r="P1342" s="164"/>
      <c r="Q1342" s="164"/>
      <c r="R1342" s="164"/>
    </row>
    <row r="1343" spans="13:18" ht="15" customHeight="1" x14ac:dyDescent="1">
      <c r="M1343" s="164"/>
      <c r="N1343" s="164"/>
      <c r="O1343" s="164"/>
      <c r="P1343" s="164"/>
      <c r="Q1343" s="164"/>
      <c r="R1343" s="164"/>
    </row>
    <row r="1344" spans="13:18" ht="15" customHeight="1" x14ac:dyDescent="1">
      <c r="M1344" s="164"/>
      <c r="N1344" s="164"/>
      <c r="O1344" s="164"/>
      <c r="P1344" s="164"/>
      <c r="Q1344" s="164"/>
      <c r="R1344" s="164"/>
    </row>
    <row r="1345" spans="13:18" ht="15" customHeight="1" x14ac:dyDescent="1">
      <c r="M1345" s="164"/>
      <c r="N1345" s="164"/>
      <c r="O1345" s="164"/>
      <c r="P1345" s="164"/>
      <c r="Q1345" s="164"/>
      <c r="R1345" s="164"/>
    </row>
    <row r="1346" spans="13:18" ht="15" customHeight="1" x14ac:dyDescent="1">
      <c r="M1346" s="164"/>
      <c r="N1346" s="164"/>
      <c r="O1346" s="164"/>
      <c r="P1346" s="164"/>
      <c r="Q1346" s="164"/>
      <c r="R1346" s="164"/>
    </row>
    <row r="1347" spans="13:18" ht="15" customHeight="1" x14ac:dyDescent="1">
      <c r="M1347" s="164"/>
      <c r="N1347" s="164"/>
      <c r="O1347" s="164"/>
      <c r="P1347" s="164"/>
      <c r="Q1347" s="164"/>
      <c r="R1347" s="164"/>
    </row>
    <row r="1348" spans="13:18" ht="15" customHeight="1" x14ac:dyDescent="1">
      <c r="M1348" s="164"/>
      <c r="N1348" s="164"/>
      <c r="O1348" s="164"/>
      <c r="P1348" s="164"/>
      <c r="Q1348" s="164"/>
      <c r="R1348" s="164"/>
    </row>
    <row r="1349" spans="13:18" ht="15" customHeight="1" x14ac:dyDescent="1">
      <c r="M1349" s="164"/>
      <c r="N1349" s="164"/>
      <c r="O1349" s="164"/>
      <c r="P1349" s="164"/>
      <c r="Q1349" s="164"/>
      <c r="R1349" s="164"/>
    </row>
    <row r="1350" spans="13:18" ht="15" customHeight="1" x14ac:dyDescent="1">
      <c r="M1350" s="164"/>
      <c r="N1350" s="164"/>
      <c r="O1350" s="164"/>
      <c r="P1350" s="164"/>
      <c r="Q1350" s="164"/>
      <c r="R1350" s="164"/>
    </row>
    <row r="1351" spans="13:18" ht="15" customHeight="1" x14ac:dyDescent="1">
      <c r="M1351" s="164"/>
      <c r="N1351" s="164"/>
      <c r="O1351" s="164"/>
      <c r="P1351" s="164"/>
      <c r="Q1351" s="164"/>
      <c r="R1351" s="164"/>
    </row>
    <row r="1352" spans="13:18" ht="15" customHeight="1" x14ac:dyDescent="1">
      <c r="M1352" s="164"/>
      <c r="N1352" s="164"/>
      <c r="O1352" s="164"/>
      <c r="P1352" s="164"/>
      <c r="Q1352" s="164"/>
      <c r="R1352" s="164"/>
    </row>
    <row r="1353" spans="13:18" ht="15" customHeight="1" x14ac:dyDescent="1">
      <c r="M1353" s="164"/>
      <c r="N1353" s="164"/>
      <c r="O1353" s="164"/>
      <c r="P1353" s="164"/>
      <c r="Q1353" s="164"/>
      <c r="R1353" s="164"/>
    </row>
    <row r="1354" spans="13:18" ht="15" customHeight="1" x14ac:dyDescent="1">
      <c r="M1354" s="164"/>
      <c r="N1354" s="164"/>
      <c r="O1354" s="164"/>
      <c r="P1354" s="164"/>
      <c r="Q1354" s="164"/>
      <c r="R1354" s="164"/>
    </row>
    <row r="1355" spans="13:18" ht="15" customHeight="1" x14ac:dyDescent="1">
      <c r="M1355" s="164"/>
      <c r="N1355" s="164"/>
      <c r="O1355" s="164"/>
      <c r="P1355" s="164"/>
      <c r="Q1355" s="164"/>
      <c r="R1355" s="164"/>
    </row>
    <row r="1356" spans="13:18" ht="15" customHeight="1" x14ac:dyDescent="1">
      <c r="M1356" s="164"/>
      <c r="N1356" s="164"/>
      <c r="O1356" s="164"/>
      <c r="P1356" s="164"/>
      <c r="Q1356" s="164"/>
      <c r="R1356" s="164"/>
    </row>
    <row r="1357" spans="13:18" ht="15" customHeight="1" x14ac:dyDescent="1">
      <c r="M1357" s="164"/>
      <c r="N1357" s="164"/>
      <c r="O1357" s="164"/>
      <c r="P1357" s="164"/>
      <c r="Q1357" s="164"/>
      <c r="R1357" s="164"/>
    </row>
    <row r="1358" spans="13:18" ht="15" customHeight="1" x14ac:dyDescent="1">
      <c r="M1358" s="164"/>
      <c r="N1358" s="164"/>
      <c r="O1358" s="164"/>
      <c r="P1358" s="164"/>
      <c r="Q1358" s="164"/>
      <c r="R1358" s="164"/>
    </row>
    <row r="1359" spans="13:18" ht="15" customHeight="1" x14ac:dyDescent="1">
      <c r="M1359" s="164"/>
      <c r="N1359" s="164"/>
      <c r="O1359" s="164"/>
      <c r="P1359" s="164"/>
      <c r="Q1359" s="164"/>
      <c r="R1359" s="164"/>
    </row>
    <row r="1360" spans="13:18" ht="15" customHeight="1" x14ac:dyDescent="1">
      <c r="M1360" s="164"/>
      <c r="N1360" s="164"/>
      <c r="O1360" s="164"/>
      <c r="P1360" s="164"/>
      <c r="Q1360" s="164"/>
      <c r="R1360" s="164"/>
    </row>
    <row r="1361" spans="13:18" ht="15" customHeight="1" x14ac:dyDescent="1">
      <c r="M1361" s="164"/>
      <c r="N1361" s="164"/>
      <c r="O1361" s="164"/>
      <c r="P1361" s="164"/>
      <c r="Q1361" s="164"/>
      <c r="R1361" s="164"/>
    </row>
    <row r="1362" spans="13:18" ht="15" customHeight="1" x14ac:dyDescent="1">
      <c r="M1362" s="164"/>
      <c r="N1362" s="164"/>
      <c r="O1362" s="164"/>
      <c r="P1362" s="164"/>
      <c r="Q1362" s="164"/>
      <c r="R1362" s="164"/>
    </row>
    <row r="1363" spans="13:18" ht="15" customHeight="1" x14ac:dyDescent="1">
      <c r="M1363" s="164"/>
      <c r="N1363" s="164"/>
      <c r="O1363" s="164"/>
      <c r="P1363" s="164"/>
      <c r="Q1363" s="164"/>
      <c r="R1363" s="164"/>
    </row>
    <row r="1364" spans="13:18" ht="15" customHeight="1" x14ac:dyDescent="1">
      <c r="M1364" s="164"/>
      <c r="N1364" s="164"/>
      <c r="O1364" s="164"/>
      <c r="P1364" s="164"/>
      <c r="Q1364" s="164"/>
      <c r="R1364" s="164"/>
    </row>
    <row r="1365" spans="13:18" ht="15" customHeight="1" x14ac:dyDescent="1">
      <c r="M1365" s="164"/>
      <c r="N1365" s="164"/>
      <c r="O1365" s="164"/>
      <c r="P1365" s="164"/>
      <c r="Q1365" s="164"/>
      <c r="R1365" s="164"/>
    </row>
    <row r="1366" spans="13:18" ht="15" customHeight="1" x14ac:dyDescent="1">
      <c r="M1366" s="164"/>
      <c r="N1366" s="164"/>
      <c r="O1366" s="164"/>
      <c r="P1366" s="164"/>
      <c r="Q1366" s="164"/>
      <c r="R1366" s="164"/>
    </row>
    <row r="1367" spans="13:18" ht="15" customHeight="1" x14ac:dyDescent="1">
      <c r="M1367" s="164"/>
      <c r="N1367" s="164"/>
      <c r="O1367" s="164"/>
      <c r="P1367" s="164"/>
      <c r="Q1367" s="164"/>
      <c r="R1367" s="164"/>
    </row>
    <row r="1368" spans="13:18" ht="15" customHeight="1" x14ac:dyDescent="1">
      <c r="M1368" s="164"/>
      <c r="N1368" s="164"/>
      <c r="O1368" s="164"/>
      <c r="P1368" s="164"/>
      <c r="Q1368" s="164"/>
      <c r="R1368" s="164"/>
    </row>
    <row r="1369" spans="13:18" ht="15" customHeight="1" x14ac:dyDescent="1">
      <c r="M1369" s="164"/>
      <c r="N1369" s="164"/>
      <c r="O1369" s="164"/>
      <c r="P1369" s="164"/>
      <c r="Q1369" s="164"/>
      <c r="R1369" s="164"/>
    </row>
    <row r="1370" spans="13:18" ht="15" customHeight="1" x14ac:dyDescent="1">
      <c r="M1370" s="164"/>
      <c r="N1370" s="164"/>
      <c r="O1370" s="164"/>
      <c r="P1370" s="164"/>
      <c r="Q1370" s="164"/>
      <c r="R1370" s="164"/>
    </row>
    <row r="1371" spans="13:18" ht="15" customHeight="1" x14ac:dyDescent="1">
      <c r="M1371" s="164"/>
      <c r="N1371" s="164"/>
      <c r="O1371" s="164"/>
      <c r="P1371" s="164"/>
      <c r="Q1371" s="164"/>
      <c r="R1371" s="164"/>
    </row>
    <row r="1372" spans="13:18" ht="15" customHeight="1" x14ac:dyDescent="1">
      <c r="M1372" s="164"/>
      <c r="N1372" s="164"/>
      <c r="O1372" s="164"/>
      <c r="P1372" s="164"/>
      <c r="Q1372" s="164"/>
      <c r="R1372" s="164"/>
    </row>
    <row r="1373" spans="13:18" ht="15" customHeight="1" x14ac:dyDescent="1">
      <c r="M1373" s="164"/>
      <c r="N1373" s="164"/>
      <c r="O1373" s="164"/>
      <c r="P1373" s="164"/>
      <c r="Q1373" s="164"/>
      <c r="R1373" s="164"/>
    </row>
    <row r="1374" spans="13:18" ht="15" customHeight="1" x14ac:dyDescent="1">
      <c r="M1374" s="164"/>
      <c r="N1374" s="164"/>
      <c r="O1374" s="164"/>
      <c r="P1374" s="164"/>
      <c r="Q1374" s="164"/>
      <c r="R1374" s="164"/>
    </row>
    <row r="1375" spans="13:18" ht="15" customHeight="1" x14ac:dyDescent="1">
      <c r="M1375" s="164"/>
      <c r="N1375" s="164"/>
      <c r="O1375" s="164"/>
      <c r="P1375" s="164"/>
      <c r="Q1375" s="164"/>
      <c r="R1375" s="164"/>
    </row>
    <row r="1376" spans="13:18" ht="15" customHeight="1" x14ac:dyDescent="1">
      <c r="M1376" s="164"/>
      <c r="N1376" s="164"/>
      <c r="O1376" s="164"/>
      <c r="P1376" s="164"/>
      <c r="Q1376" s="164"/>
      <c r="R1376" s="164"/>
    </row>
    <row r="1377" spans="13:18" ht="15" customHeight="1" x14ac:dyDescent="1">
      <c r="M1377" s="164"/>
      <c r="N1377" s="164"/>
      <c r="O1377" s="164"/>
      <c r="P1377" s="164"/>
      <c r="Q1377" s="164"/>
      <c r="R1377" s="164"/>
    </row>
    <row r="1378" spans="13:18" ht="15" customHeight="1" x14ac:dyDescent="1">
      <c r="M1378" s="164"/>
      <c r="N1378" s="164"/>
      <c r="O1378" s="164"/>
      <c r="P1378" s="164"/>
      <c r="Q1378" s="164"/>
      <c r="R1378" s="164"/>
    </row>
    <row r="1379" spans="13:18" ht="15" customHeight="1" x14ac:dyDescent="1">
      <c r="M1379" s="164"/>
      <c r="N1379" s="164"/>
      <c r="O1379" s="164"/>
      <c r="P1379" s="164"/>
      <c r="Q1379" s="164"/>
      <c r="R1379" s="164"/>
    </row>
    <row r="1380" spans="13:18" ht="15" customHeight="1" x14ac:dyDescent="1">
      <c r="M1380" s="164"/>
      <c r="N1380" s="164"/>
      <c r="O1380" s="164"/>
      <c r="P1380" s="164"/>
      <c r="Q1380" s="164"/>
      <c r="R1380" s="164"/>
    </row>
    <row r="1381" spans="13:18" ht="15" customHeight="1" x14ac:dyDescent="1">
      <c r="M1381" s="164"/>
      <c r="N1381" s="164"/>
      <c r="O1381" s="164"/>
      <c r="P1381" s="164"/>
      <c r="Q1381" s="164"/>
      <c r="R1381" s="164"/>
    </row>
    <row r="1382" spans="13:18" ht="15" customHeight="1" x14ac:dyDescent="1">
      <c r="M1382" s="164"/>
      <c r="N1382" s="164"/>
      <c r="O1382" s="164"/>
      <c r="P1382" s="164"/>
      <c r="Q1382" s="164"/>
      <c r="R1382" s="164"/>
    </row>
    <row r="1383" spans="13:18" ht="15" customHeight="1" x14ac:dyDescent="1">
      <c r="M1383" s="164"/>
      <c r="N1383" s="164"/>
      <c r="O1383" s="164"/>
      <c r="P1383" s="164"/>
      <c r="Q1383" s="164"/>
      <c r="R1383" s="164"/>
    </row>
    <row r="1384" spans="13:18" ht="15" customHeight="1" x14ac:dyDescent="1">
      <c r="M1384" s="164"/>
      <c r="N1384" s="164"/>
      <c r="O1384" s="164"/>
      <c r="P1384" s="164"/>
      <c r="Q1384" s="164"/>
      <c r="R1384" s="164"/>
    </row>
    <row r="1385" spans="13:18" ht="15" customHeight="1" x14ac:dyDescent="1">
      <c r="M1385" s="164"/>
      <c r="N1385" s="164"/>
      <c r="O1385" s="164"/>
      <c r="P1385" s="164"/>
      <c r="Q1385" s="164"/>
      <c r="R1385" s="164"/>
    </row>
    <row r="1386" spans="13:18" ht="15" customHeight="1" x14ac:dyDescent="1">
      <c r="M1386" s="164"/>
      <c r="N1386" s="164"/>
      <c r="O1386" s="164"/>
      <c r="P1386" s="164"/>
      <c r="Q1386" s="164"/>
      <c r="R1386" s="164"/>
    </row>
    <row r="1387" spans="13:18" ht="15" customHeight="1" x14ac:dyDescent="1">
      <c r="M1387" s="164"/>
      <c r="N1387" s="164"/>
      <c r="O1387" s="164"/>
      <c r="P1387" s="164"/>
      <c r="Q1387" s="164"/>
      <c r="R1387" s="164"/>
    </row>
    <row r="1388" spans="13:18" ht="15" customHeight="1" x14ac:dyDescent="1">
      <c r="M1388" s="164"/>
      <c r="N1388" s="164"/>
      <c r="O1388" s="164"/>
      <c r="P1388" s="164"/>
      <c r="Q1388" s="164"/>
      <c r="R1388" s="164"/>
    </row>
    <row r="1389" spans="13:18" ht="15" customHeight="1" x14ac:dyDescent="1">
      <c r="M1389" s="164"/>
      <c r="N1389" s="164"/>
      <c r="O1389" s="164"/>
      <c r="P1389" s="164"/>
      <c r="Q1389" s="164"/>
      <c r="R1389" s="164"/>
    </row>
    <row r="1390" spans="13:18" ht="15" customHeight="1" x14ac:dyDescent="1">
      <c r="M1390" s="164"/>
      <c r="N1390" s="164"/>
      <c r="O1390" s="164"/>
      <c r="P1390" s="164"/>
      <c r="Q1390" s="164"/>
      <c r="R1390" s="164"/>
    </row>
    <row r="1391" spans="13:18" ht="15" customHeight="1" x14ac:dyDescent="1">
      <c r="M1391" s="164"/>
      <c r="N1391" s="164"/>
      <c r="O1391" s="164"/>
      <c r="P1391" s="164"/>
      <c r="Q1391" s="164"/>
      <c r="R1391" s="164"/>
    </row>
    <row r="1392" spans="13:18" ht="15" customHeight="1" x14ac:dyDescent="1">
      <c r="M1392" s="164"/>
      <c r="N1392" s="164"/>
      <c r="O1392" s="164"/>
      <c r="P1392" s="164"/>
      <c r="Q1392" s="164"/>
      <c r="R1392" s="164"/>
    </row>
    <row r="1393" spans="13:18" ht="15" customHeight="1" x14ac:dyDescent="1">
      <c r="M1393" s="164"/>
      <c r="N1393" s="164"/>
      <c r="O1393" s="164"/>
      <c r="P1393" s="164"/>
      <c r="Q1393" s="164"/>
      <c r="R1393" s="164"/>
    </row>
    <row r="1394" spans="13:18" ht="15" customHeight="1" x14ac:dyDescent="1">
      <c r="M1394" s="164"/>
      <c r="N1394" s="164"/>
      <c r="O1394" s="164"/>
      <c r="P1394" s="164"/>
      <c r="Q1394" s="164"/>
      <c r="R1394" s="164"/>
    </row>
    <row r="1395" spans="13:18" ht="15" customHeight="1" x14ac:dyDescent="1">
      <c r="M1395" s="164"/>
      <c r="N1395" s="164"/>
      <c r="O1395" s="164"/>
      <c r="P1395" s="164"/>
      <c r="Q1395" s="164"/>
      <c r="R1395" s="164"/>
    </row>
    <row r="1396" spans="13:18" ht="15" customHeight="1" x14ac:dyDescent="1">
      <c r="M1396" s="164"/>
      <c r="N1396" s="164"/>
      <c r="O1396" s="164"/>
      <c r="P1396" s="164"/>
      <c r="Q1396" s="164"/>
      <c r="R1396" s="164"/>
    </row>
    <row r="1397" spans="13:18" ht="15" customHeight="1" x14ac:dyDescent="1">
      <c r="M1397" s="164"/>
      <c r="N1397" s="164"/>
      <c r="O1397" s="164"/>
      <c r="P1397" s="164"/>
      <c r="Q1397" s="164"/>
      <c r="R1397" s="164"/>
    </row>
    <row r="1398" spans="13:18" ht="15" customHeight="1" x14ac:dyDescent="1">
      <c r="M1398" s="164"/>
      <c r="N1398" s="164"/>
      <c r="O1398" s="164"/>
      <c r="P1398" s="164"/>
      <c r="Q1398" s="164"/>
      <c r="R1398" s="164"/>
    </row>
    <row r="1399" spans="13:18" ht="15" customHeight="1" x14ac:dyDescent="1">
      <c r="M1399" s="164"/>
      <c r="N1399" s="164"/>
      <c r="O1399" s="164"/>
      <c r="P1399" s="164"/>
      <c r="Q1399" s="164"/>
      <c r="R1399" s="164"/>
    </row>
    <row r="1400" spans="13:18" ht="15" customHeight="1" x14ac:dyDescent="1">
      <c r="M1400" s="164"/>
      <c r="N1400" s="164"/>
      <c r="O1400" s="164"/>
      <c r="P1400" s="164"/>
      <c r="Q1400" s="164"/>
      <c r="R1400" s="164"/>
    </row>
    <row r="1401" spans="13:18" ht="15" customHeight="1" x14ac:dyDescent="1">
      <c r="M1401" s="164"/>
      <c r="N1401" s="164"/>
      <c r="O1401" s="164"/>
      <c r="P1401" s="164"/>
      <c r="Q1401" s="164"/>
      <c r="R1401" s="164"/>
    </row>
    <row r="1402" spans="13:18" ht="15" customHeight="1" x14ac:dyDescent="1">
      <c r="M1402" s="164"/>
      <c r="N1402" s="164"/>
      <c r="O1402" s="164"/>
      <c r="P1402" s="164"/>
      <c r="Q1402" s="164"/>
      <c r="R1402" s="164"/>
    </row>
    <row r="1403" spans="13:18" ht="15" customHeight="1" x14ac:dyDescent="1">
      <c r="M1403" s="164"/>
      <c r="N1403" s="164"/>
      <c r="O1403" s="164"/>
      <c r="P1403" s="164"/>
      <c r="Q1403" s="164"/>
      <c r="R1403" s="164"/>
    </row>
    <row r="1404" spans="13:18" ht="15" customHeight="1" x14ac:dyDescent="1">
      <c r="M1404" s="164"/>
      <c r="N1404" s="164"/>
      <c r="O1404" s="164"/>
      <c r="P1404" s="164"/>
      <c r="Q1404" s="164"/>
      <c r="R1404" s="164"/>
    </row>
    <row r="1405" spans="13:18" ht="15" customHeight="1" x14ac:dyDescent="1">
      <c r="M1405" s="164"/>
      <c r="N1405" s="164"/>
      <c r="O1405" s="164"/>
      <c r="P1405" s="164"/>
      <c r="Q1405" s="164"/>
      <c r="R1405" s="164"/>
    </row>
    <row r="1406" spans="13:18" ht="15" customHeight="1" x14ac:dyDescent="1">
      <c r="M1406" s="164"/>
      <c r="N1406" s="164"/>
      <c r="O1406" s="164"/>
      <c r="P1406" s="164"/>
      <c r="Q1406" s="164"/>
      <c r="R1406" s="164"/>
    </row>
    <row r="1407" spans="13:18" ht="15" customHeight="1" x14ac:dyDescent="1">
      <c r="M1407" s="164"/>
      <c r="N1407" s="164"/>
      <c r="O1407" s="164"/>
      <c r="P1407" s="164"/>
      <c r="Q1407" s="164"/>
      <c r="R1407" s="164"/>
    </row>
    <row r="1408" spans="13:18" ht="15" customHeight="1" x14ac:dyDescent="1">
      <c r="M1408" s="164"/>
      <c r="N1408" s="164"/>
      <c r="O1408" s="164"/>
      <c r="P1408" s="164"/>
      <c r="Q1408" s="164"/>
      <c r="R1408" s="164"/>
    </row>
    <row r="1409" spans="13:18" ht="15" customHeight="1" x14ac:dyDescent="1">
      <c r="M1409" s="164"/>
      <c r="N1409" s="164"/>
      <c r="O1409" s="164"/>
      <c r="P1409" s="164"/>
      <c r="Q1409" s="164"/>
      <c r="R1409" s="164"/>
    </row>
    <row r="1410" spans="13:18" ht="15" customHeight="1" x14ac:dyDescent="1">
      <c r="M1410" s="164"/>
      <c r="N1410" s="164"/>
      <c r="O1410" s="164"/>
      <c r="P1410" s="164"/>
      <c r="Q1410" s="164"/>
      <c r="R1410" s="164"/>
    </row>
    <row r="1411" spans="13:18" ht="15" customHeight="1" x14ac:dyDescent="1">
      <c r="M1411" s="164"/>
      <c r="N1411" s="164"/>
      <c r="O1411" s="164"/>
      <c r="P1411" s="164"/>
      <c r="Q1411" s="164"/>
      <c r="R1411" s="164"/>
    </row>
    <row r="1412" spans="13:18" ht="15" customHeight="1" x14ac:dyDescent="1">
      <c r="M1412" s="164"/>
      <c r="N1412" s="164"/>
      <c r="O1412" s="164"/>
      <c r="P1412" s="164"/>
      <c r="Q1412" s="164"/>
      <c r="R1412" s="164"/>
    </row>
    <row r="1413" spans="13:18" ht="15" customHeight="1" x14ac:dyDescent="1">
      <c r="M1413" s="164"/>
      <c r="N1413" s="164"/>
      <c r="O1413" s="164"/>
      <c r="P1413" s="164"/>
      <c r="Q1413" s="164"/>
      <c r="R1413" s="164"/>
    </row>
    <row r="1414" spans="13:18" ht="15" customHeight="1" x14ac:dyDescent="1">
      <c r="M1414" s="164"/>
      <c r="N1414" s="164"/>
      <c r="O1414" s="164"/>
      <c r="P1414" s="164"/>
      <c r="Q1414" s="164"/>
      <c r="R1414" s="164"/>
    </row>
    <row r="1415" spans="13:18" ht="15" customHeight="1" x14ac:dyDescent="1">
      <c r="M1415" s="164"/>
      <c r="N1415" s="164"/>
      <c r="O1415" s="164"/>
      <c r="P1415" s="164"/>
      <c r="Q1415" s="164"/>
      <c r="R1415" s="164"/>
    </row>
    <row r="1416" spans="13:18" ht="15" customHeight="1" x14ac:dyDescent="1">
      <c r="M1416" s="164"/>
      <c r="N1416" s="164"/>
      <c r="O1416" s="164"/>
      <c r="P1416" s="164"/>
      <c r="Q1416" s="164"/>
      <c r="R1416" s="164"/>
    </row>
    <row r="1417" spans="13:18" ht="15" customHeight="1" x14ac:dyDescent="1">
      <c r="M1417" s="164"/>
      <c r="N1417" s="164"/>
      <c r="O1417" s="164"/>
      <c r="P1417" s="164"/>
      <c r="Q1417" s="164"/>
      <c r="R1417" s="164"/>
    </row>
    <row r="1418" spans="13:18" ht="15" customHeight="1" x14ac:dyDescent="1">
      <c r="M1418" s="164"/>
      <c r="N1418" s="164"/>
      <c r="O1418" s="164"/>
      <c r="P1418" s="164"/>
      <c r="Q1418" s="164"/>
      <c r="R1418" s="164"/>
    </row>
    <row r="1419" spans="13:18" ht="15" customHeight="1" x14ac:dyDescent="1">
      <c r="M1419" s="164"/>
      <c r="N1419" s="164"/>
      <c r="O1419" s="164"/>
      <c r="P1419" s="164"/>
      <c r="Q1419" s="164"/>
      <c r="R1419" s="164"/>
    </row>
    <row r="1420" spans="13:18" ht="15" customHeight="1" x14ac:dyDescent="1">
      <c r="M1420" s="164"/>
      <c r="N1420" s="164"/>
      <c r="O1420" s="164"/>
      <c r="P1420" s="164"/>
      <c r="Q1420" s="164"/>
      <c r="R1420" s="164"/>
    </row>
    <row r="1421" spans="13:18" ht="15" customHeight="1" x14ac:dyDescent="1">
      <c r="M1421" s="164"/>
      <c r="N1421" s="164"/>
      <c r="O1421" s="164"/>
      <c r="P1421" s="164"/>
      <c r="Q1421" s="164"/>
      <c r="R1421" s="164"/>
    </row>
    <row r="1422" spans="13:18" ht="15" customHeight="1" x14ac:dyDescent="1">
      <c r="M1422" s="164"/>
      <c r="N1422" s="164"/>
      <c r="O1422" s="164"/>
      <c r="P1422" s="164"/>
      <c r="Q1422" s="164"/>
      <c r="R1422" s="164"/>
    </row>
    <row r="1423" spans="13:18" ht="15" customHeight="1" x14ac:dyDescent="1">
      <c r="M1423" s="164"/>
      <c r="N1423" s="164"/>
      <c r="O1423" s="164"/>
      <c r="P1423" s="164"/>
      <c r="Q1423" s="164"/>
      <c r="R1423" s="164"/>
    </row>
    <row r="1424" spans="13:18" ht="15" customHeight="1" x14ac:dyDescent="1">
      <c r="M1424" s="164"/>
      <c r="N1424" s="164"/>
      <c r="O1424" s="164"/>
      <c r="P1424" s="164"/>
      <c r="Q1424" s="164"/>
      <c r="R1424" s="164"/>
    </row>
    <row r="1425" spans="13:18" ht="15" customHeight="1" x14ac:dyDescent="1">
      <c r="M1425" s="164"/>
      <c r="N1425" s="164"/>
      <c r="O1425" s="164"/>
      <c r="P1425" s="164"/>
      <c r="Q1425" s="164"/>
      <c r="R1425" s="164"/>
    </row>
    <row r="1426" spans="13:18" ht="15" customHeight="1" x14ac:dyDescent="1">
      <c r="M1426" s="164"/>
      <c r="N1426" s="164"/>
      <c r="O1426" s="164"/>
      <c r="P1426" s="164"/>
      <c r="Q1426" s="164"/>
      <c r="R1426" s="164"/>
    </row>
    <row r="1427" spans="13:18" ht="15" customHeight="1" x14ac:dyDescent="1">
      <c r="M1427" s="164"/>
      <c r="N1427" s="164"/>
      <c r="O1427" s="164"/>
      <c r="P1427" s="164"/>
      <c r="Q1427" s="164"/>
      <c r="R1427" s="164"/>
    </row>
    <row r="1428" spans="13:18" ht="15" customHeight="1" x14ac:dyDescent="1">
      <c r="M1428" s="164"/>
      <c r="N1428" s="164"/>
      <c r="O1428" s="164"/>
      <c r="P1428" s="164"/>
      <c r="Q1428" s="164"/>
      <c r="R1428" s="164"/>
    </row>
    <row r="1429" spans="13:18" ht="15" customHeight="1" x14ac:dyDescent="1">
      <c r="M1429" s="164"/>
      <c r="N1429" s="164"/>
      <c r="O1429" s="164"/>
      <c r="P1429" s="164"/>
      <c r="Q1429" s="164"/>
      <c r="R1429" s="164"/>
    </row>
    <row r="1430" spans="13:18" ht="15" customHeight="1" x14ac:dyDescent="1">
      <c r="M1430" s="164"/>
      <c r="N1430" s="164"/>
      <c r="O1430" s="164"/>
      <c r="P1430" s="164"/>
      <c r="Q1430" s="164"/>
      <c r="R1430" s="164"/>
    </row>
    <row r="1431" spans="13:18" ht="15" customHeight="1" x14ac:dyDescent="1">
      <c r="M1431" s="164"/>
      <c r="N1431" s="164"/>
      <c r="O1431" s="164"/>
      <c r="P1431" s="164"/>
      <c r="Q1431" s="164"/>
      <c r="R1431" s="164"/>
    </row>
    <row r="1432" spans="13:18" ht="15" customHeight="1" x14ac:dyDescent="1">
      <c r="M1432" s="164"/>
      <c r="N1432" s="164"/>
      <c r="O1432" s="164"/>
      <c r="P1432" s="164"/>
      <c r="Q1432" s="164"/>
      <c r="R1432" s="164"/>
    </row>
    <row r="1433" spans="13:18" ht="15" customHeight="1" x14ac:dyDescent="1">
      <c r="M1433" s="164"/>
      <c r="N1433" s="164"/>
      <c r="O1433" s="164"/>
      <c r="P1433" s="164"/>
      <c r="Q1433" s="164"/>
      <c r="R1433" s="164"/>
    </row>
    <row r="1434" spans="13:18" ht="15" customHeight="1" x14ac:dyDescent="1">
      <c r="M1434" s="164"/>
      <c r="N1434" s="164"/>
      <c r="O1434" s="164"/>
      <c r="P1434" s="164"/>
      <c r="Q1434" s="164"/>
      <c r="R1434" s="164"/>
    </row>
    <row r="1435" spans="13:18" ht="15" customHeight="1" x14ac:dyDescent="1">
      <c r="M1435" s="164"/>
      <c r="N1435" s="164"/>
      <c r="O1435" s="164"/>
      <c r="P1435" s="164"/>
      <c r="Q1435" s="164"/>
      <c r="R1435" s="164"/>
    </row>
    <row r="1436" spans="13:18" ht="15" customHeight="1" x14ac:dyDescent="1">
      <c r="M1436" s="164"/>
      <c r="N1436" s="164"/>
      <c r="O1436" s="164"/>
      <c r="P1436" s="164"/>
      <c r="Q1436" s="164"/>
      <c r="R1436" s="164"/>
    </row>
    <row r="1437" spans="13:18" ht="15" customHeight="1" x14ac:dyDescent="1">
      <c r="M1437" s="164"/>
      <c r="N1437" s="164"/>
      <c r="O1437" s="164"/>
      <c r="P1437" s="164"/>
      <c r="Q1437" s="164"/>
      <c r="R1437" s="164"/>
    </row>
    <row r="1438" spans="13:18" ht="15" customHeight="1" x14ac:dyDescent="1">
      <c r="M1438" s="164"/>
      <c r="N1438" s="164"/>
      <c r="O1438" s="164"/>
      <c r="P1438" s="164"/>
      <c r="Q1438" s="164"/>
      <c r="R1438" s="164"/>
    </row>
    <row r="1439" spans="13:18" ht="15" customHeight="1" x14ac:dyDescent="1">
      <c r="M1439" s="164"/>
      <c r="N1439" s="164"/>
      <c r="O1439" s="164"/>
      <c r="P1439" s="164"/>
      <c r="Q1439" s="164"/>
      <c r="R1439" s="164"/>
    </row>
    <row r="1440" spans="13:18" ht="15" customHeight="1" x14ac:dyDescent="1">
      <c r="M1440" s="164"/>
      <c r="N1440" s="164"/>
      <c r="O1440" s="164"/>
      <c r="P1440" s="164"/>
      <c r="Q1440" s="164"/>
      <c r="R1440" s="164"/>
    </row>
    <row r="1441" spans="13:18" ht="15" customHeight="1" x14ac:dyDescent="1">
      <c r="M1441" s="164"/>
      <c r="N1441" s="164"/>
      <c r="O1441" s="164"/>
      <c r="P1441" s="164"/>
      <c r="Q1441" s="164"/>
      <c r="R1441" s="164"/>
    </row>
    <row r="1442" spans="13:18" ht="15" customHeight="1" x14ac:dyDescent="1">
      <c r="M1442" s="164"/>
      <c r="N1442" s="164"/>
      <c r="O1442" s="164"/>
      <c r="P1442" s="164"/>
      <c r="Q1442" s="164"/>
      <c r="R1442" s="164"/>
    </row>
    <row r="1443" spans="13:18" ht="15" customHeight="1" x14ac:dyDescent="1">
      <c r="M1443" s="164"/>
      <c r="N1443" s="164"/>
      <c r="O1443" s="164"/>
      <c r="P1443" s="164"/>
      <c r="Q1443" s="164"/>
      <c r="R1443" s="164"/>
    </row>
    <row r="1444" spans="13:18" ht="15" customHeight="1" x14ac:dyDescent="1">
      <c r="M1444" s="164"/>
      <c r="N1444" s="164"/>
      <c r="O1444" s="164"/>
      <c r="P1444" s="164"/>
      <c r="Q1444" s="164"/>
      <c r="R1444" s="164"/>
    </row>
    <row r="1445" spans="13:18" ht="15" customHeight="1" x14ac:dyDescent="1">
      <c r="M1445" s="164"/>
      <c r="N1445" s="164"/>
      <c r="O1445" s="164"/>
      <c r="P1445" s="164"/>
      <c r="Q1445" s="164"/>
      <c r="R1445" s="164"/>
    </row>
    <row r="1446" spans="13:18" ht="15" customHeight="1" x14ac:dyDescent="1">
      <c r="M1446" s="164"/>
      <c r="N1446" s="164"/>
      <c r="O1446" s="164"/>
      <c r="P1446" s="164"/>
      <c r="Q1446" s="164"/>
      <c r="R1446" s="164"/>
    </row>
    <row r="1447" spans="13:18" ht="15" customHeight="1" x14ac:dyDescent="1">
      <c r="M1447" s="164"/>
      <c r="N1447" s="164"/>
      <c r="O1447" s="164"/>
      <c r="P1447" s="164"/>
      <c r="Q1447" s="164"/>
      <c r="R1447" s="164"/>
    </row>
    <row r="1448" spans="13:18" ht="15" customHeight="1" x14ac:dyDescent="1">
      <c r="M1448" s="164"/>
      <c r="N1448" s="164"/>
      <c r="O1448" s="164"/>
      <c r="P1448" s="164"/>
      <c r="Q1448" s="164"/>
      <c r="R1448" s="164"/>
    </row>
    <row r="1449" spans="13:18" ht="15" customHeight="1" x14ac:dyDescent="1">
      <c r="M1449" s="164"/>
      <c r="N1449" s="164"/>
      <c r="O1449" s="164"/>
      <c r="P1449" s="164"/>
      <c r="Q1449" s="164"/>
      <c r="R1449" s="164"/>
    </row>
    <row r="1450" spans="13:18" ht="15" customHeight="1" x14ac:dyDescent="1">
      <c r="M1450" s="164"/>
      <c r="N1450" s="164"/>
      <c r="O1450" s="164"/>
      <c r="P1450" s="164"/>
      <c r="Q1450" s="164"/>
      <c r="R1450" s="164"/>
    </row>
    <row r="1451" spans="13:18" ht="15" customHeight="1" x14ac:dyDescent="1">
      <c r="M1451" s="164"/>
      <c r="N1451" s="164"/>
      <c r="O1451" s="164"/>
      <c r="P1451" s="164"/>
      <c r="Q1451" s="164"/>
      <c r="R1451" s="164"/>
    </row>
    <row r="1452" spans="13:18" ht="15" customHeight="1" x14ac:dyDescent="1">
      <c r="M1452" s="164"/>
      <c r="N1452" s="164"/>
      <c r="O1452" s="164"/>
      <c r="P1452" s="164"/>
      <c r="Q1452" s="164"/>
      <c r="R1452" s="164"/>
    </row>
    <row r="1453" spans="13:18" ht="15" customHeight="1" x14ac:dyDescent="1">
      <c r="M1453" s="164"/>
      <c r="N1453" s="164"/>
      <c r="O1453" s="164"/>
      <c r="P1453" s="164"/>
      <c r="Q1453" s="164"/>
      <c r="R1453" s="164"/>
    </row>
    <row r="1454" spans="13:18" ht="15" customHeight="1" x14ac:dyDescent="1">
      <c r="M1454" s="164"/>
      <c r="N1454" s="164"/>
      <c r="O1454" s="164"/>
      <c r="P1454" s="164"/>
      <c r="Q1454" s="164"/>
      <c r="R1454" s="164"/>
    </row>
    <row r="1455" spans="13:18" ht="15" customHeight="1" x14ac:dyDescent="1">
      <c r="M1455" s="164"/>
      <c r="N1455" s="164"/>
      <c r="O1455" s="164"/>
      <c r="P1455" s="164"/>
      <c r="Q1455" s="164"/>
      <c r="R1455" s="164"/>
    </row>
    <row r="1456" spans="13:18" ht="15" customHeight="1" x14ac:dyDescent="1">
      <c r="M1456" s="164"/>
      <c r="N1456" s="164"/>
      <c r="O1456" s="164"/>
      <c r="P1456" s="164"/>
      <c r="Q1456" s="164"/>
      <c r="R1456" s="164"/>
    </row>
    <row r="1457" spans="13:18" ht="15" customHeight="1" x14ac:dyDescent="1">
      <c r="M1457" s="164"/>
      <c r="N1457" s="164"/>
      <c r="O1457" s="164"/>
      <c r="P1457" s="164"/>
      <c r="Q1457" s="164"/>
      <c r="R1457" s="164"/>
    </row>
    <row r="1458" spans="13:18" ht="15" customHeight="1" x14ac:dyDescent="1">
      <c r="M1458" s="164"/>
      <c r="N1458" s="164"/>
      <c r="O1458" s="164"/>
      <c r="P1458" s="164"/>
      <c r="Q1458" s="164"/>
      <c r="R1458" s="164"/>
    </row>
    <row r="1459" spans="13:18" ht="15" customHeight="1" x14ac:dyDescent="1">
      <c r="M1459" s="164"/>
      <c r="N1459" s="164"/>
      <c r="O1459" s="164"/>
      <c r="P1459" s="164"/>
      <c r="Q1459" s="164"/>
      <c r="R1459" s="164"/>
    </row>
    <row r="1460" spans="13:18" ht="15" customHeight="1" x14ac:dyDescent="1">
      <c r="M1460" s="164"/>
      <c r="N1460" s="164"/>
      <c r="O1460" s="164"/>
      <c r="P1460" s="164"/>
      <c r="Q1460" s="164"/>
      <c r="R1460" s="164"/>
    </row>
    <row r="1461" spans="13:18" ht="15" customHeight="1" x14ac:dyDescent="1">
      <c r="M1461" s="164"/>
      <c r="N1461" s="164"/>
      <c r="O1461" s="164"/>
      <c r="P1461" s="164"/>
      <c r="Q1461" s="164"/>
      <c r="R1461" s="164"/>
    </row>
    <row r="1462" spans="13:18" ht="15" customHeight="1" x14ac:dyDescent="1">
      <c r="M1462" s="164"/>
      <c r="N1462" s="164"/>
      <c r="O1462" s="164"/>
      <c r="P1462" s="164"/>
      <c r="Q1462" s="164"/>
      <c r="R1462" s="164"/>
    </row>
    <row r="1463" spans="13:18" ht="15" customHeight="1" x14ac:dyDescent="1">
      <c r="M1463" s="164"/>
      <c r="N1463" s="164"/>
      <c r="O1463" s="164"/>
      <c r="P1463" s="164"/>
      <c r="Q1463" s="164"/>
      <c r="R1463" s="164"/>
    </row>
    <row r="1464" spans="13:18" ht="15" customHeight="1" x14ac:dyDescent="1">
      <c r="M1464" s="164"/>
      <c r="N1464" s="164"/>
      <c r="O1464" s="164"/>
      <c r="P1464" s="164"/>
      <c r="Q1464" s="164"/>
      <c r="R1464" s="164"/>
    </row>
    <row r="1465" spans="13:18" ht="15" customHeight="1" x14ac:dyDescent="1">
      <c r="M1465" s="164"/>
      <c r="N1465" s="164"/>
      <c r="O1465" s="164"/>
      <c r="P1465" s="164"/>
      <c r="Q1465" s="164"/>
      <c r="R1465" s="164"/>
    </row>
    <row r="1466" spans="13:18" ht="15" customHeight="1" x14ac:dyDescent="1">
      <c r="M1466" s="164"/>
      <c r="N1466" s="164"/>
      <c r="O1466" s="164"/>
      <c r="P1466" s="164"/>
      <c r="Q1466" s="164"/>
      <c r="R1466" s="164"/>
    </row>
    <row r="1467" spans="13:18" ht="15" customHeight="1" x14ac:dyDescent="1">
      <c r="M1467" s="164"/>
      <c r="N1467" s="164"/>
      <c r="O1467" s="164"/>
      <c r="P1467" s="164"/>
      <c r="Q1467" s="164"/>
      <c r="R1467" s="164"/>
    </row>
    <row r="1468" spans="13:18" ht="15" customHeight="1" x14ac:dyDescent="1">
      <c r="M1468" s="164"/>
      <c r="N1468" s="164"/>
      <c r="O1468" s="164"/>
      <c r="P1468" s="164"/>
      <c r="Q1468" s="164"/>
      <c r="R1468" s="164"/>
    </row>
    <row r="1469" spans="13:18" ht="15" customHeight="1" x14ac:dyDescent="1">
      <c r="M1469" s="164"/>
      <c r="N1469" s="164"/>
      <c r="O1469" s="164"/>
      <c r="P1469" s="164"/>
      <c r="Q1469" s="164"/>
      <c r="R1469" s="164"/>
    </row>
    <row r="1470" spans="13:18" ht="15" customHeight="1" x14ac:dyDescent="1">
      <c r="M1470" s="164"/>
      <c r="N1470" s="164"/>
      <c r="O1470" s="164"/>
      <c r="P1470" s="164"/>
      <c r="Q1470" s="164"/>
      <c r="R1470" s="164"/>
    </row>
    <row r="1471" spans="13:18" ht="15" customHeight="1" x14ac:dyDescent="1">
      <c r="M1471" s="164"/>
      <c r="N1471" s="164"/>
      <c r="O1471" s="164"/>
      <c r="P1471" s="164"/>
      <c r="Q1471" s="164"/>
      <c r="R1471" s="164"/>
    </row>
    <row r="1472" spans="13:18" ht="15" customHeight="1" x14ac:dyDescent="1">
      <c r="M1472" s="164"/>
      <c r="N1472" s="164"/>
      <c r="O1472" s="164"/>
      <c r="P1472" s="164"/>
      <c r="Q1472" s="164"/>
      <c r="R1472" s="164"/>
    </row>
    <row r="1473" spans="13:18" ht="15" customHeight="1" x14ac:dyDescent="1">
      <c r="M1473" s="164"/>
      <c r="N1473" s="164"/>
      <c r="O1473" s="164"/>
      <c r="P1473" s="164"/>
      <c r="Q1473" s="164"/>
      <c r="R1473" s="164"/>
    </row>
    <row r="1474" spans="13:18" ht="15" customHeight="1" x14ac:dyDescent="1">
      <c r="M1474" s="164"/>
      <c r="N1474" s="164"/>
      <c r="O1474" s="164"/>
      <c r="P1474" s="164"/>
      <c r="Q1474" s="164"/>
      <c r="R1474" s="164"/>
    </row>
    <row r="1475" spans="13:18" ht="15" customHeight="1" x14ac:dyDescent="1">
      <c r="M1475" s="164"/>
      <c r="N1475" s="164"/>
      <c r="O1475" s="164"/>
      <c r="P1475" s="164"/>
      <c r="Q1475" s="164"/>
      <c r="R1475" s="164"/>
    </row>
    <row r="1476" spans="13:18" ht="15" customHeight="1" x14ac:dyDescent="1">
      <c r="M1476" s="164"/>
      <c r="N1476" s="164"/>
      <c r="O1476" s="164"/>
      <c r="P1476" s="164"/>
      <c r="Q1476" s="164"/>
      <c r="R1476" s="164"/>
    </row>
    <row r="1477" spans="13:18" ht="15" customHeight="1" x14ac:dyDescent="1">
      <c r="M1477" s="164"/>
      <c r="N1477" s="164"/>
      <c r="O1477" s="164"/>
      <c r="P1477" s="164"/>
      <c r="Q1477" s="164"/>
      <c r="R1477" s="164"/>
    </row>
    <row r="1478" spans="13:18" ht="15" customHeight="1" x14ac:dyDescent="1">
      <c r="M1478" s="164"/>
      <c r="N1478" s="164"/>
      <c r="O1478" s="164"/>
      <c r="P1478" s="164"/>
      <c r="Q1478" s="164"/>
      <c r="R1478" s="164"/>
    </row>
    <row r="1479" spans="13:18" ht="15" customHeight="1" x14ac:dyDescent="1">
      <c r="M1479" s="164"/>
      <c r="N1479" s="164"/>
      <c r="O1479" s="164"/>
      <c r="P1479" s="164"/>
      <c r="Q1479" s="164"/>
      <c r="R1479" s="164"/>
    </row>
    <row r="1480" spans="13:18" ht="15" customHeight="1" x14ac:dyDescent="1">
      <c r="M1480" s="164"/>
      <c r="N1480" s="164"/>
      <c r="O1480" s="164"/>
      <c r="P1480" s="164"/>
      <c r="Q1480" s="164"/>
      <c r="R1480" s="164"/>
    </row>
    <row r="1481" spans="13:18" ht="15" customHeight="1" x14ac:dyDescent="1">
      <c r="M1481" s="164"/>
      <c r="N1481" s="164"/>
      <c r="O1481" s="164"/>
      <c r="P1481" s="164"/>
      <c r="Q1481" s="164"/>
      <c r="R1481" s="164"/>
    </row>
    <row r="1482" spans="13:18" ht="15" customHeight="1" x14ac:dyDescent="1">
      <c r="M1482" s="164"/>
      <c r="N1482" s="164"/>
      <c r="O1482" s="164"/>
      <c r="P1482" s="164"/>
      <c r="Q1482" s="164"/>
      <c r="R1482" s="164"/>
    </row>
    <row r="1483" spans="13:18" ht="15" customHeight="1" x14ac:dyDescent="1">
      <c r="M1483" s="164"/>
      <c r="N1483" s="164"/>
      <c r="O1483" s="164"/>
      <c r="P1483" s="164"/>
      <c r="Q1483" s="164"/>
      <c r="R1483" s="164"/>
    </row>
    <row r="1484" spans="13:18" ht="15" customHeight="1" x14ac:dyDescent="1">
      <c r="M1484" s="164"/>
      <c r="N1484" s="164"/>
      <c r="O1484" s="164"/>
      <c r="P1484" s="164"/>
      <c r="Q1484" s="164"/>
      <c r="R1484" s="164"/>
    </row>
    <row r="1485" spans="13:18" ht="15" customHeight="1" x14ac:dyDescent="1">
      <c r="M1485" s="164"/>
      <c r="N1485" s="164"/>
      <c r="O1485" s="164"/>
      <c r="P1485" s="164"/>
      <c r="Q1485" s="164"/>
      <c r="R1485" s="164"/>
    </row>
    <row r="1486" spans="13:18" ht="15" customHeight="1" x14ac:dyDescent="1">
      <c r="M1486" s="164"/>
      <c r="N1486" s="164"/>
      <c r="O1486" s="164"/>
      <c r="P1486" s="164"/>
      <c r="Q1486" s="164"/>
      <c r="R1486" s="164"/>
    </row>
    <row r="1487" spans="13:18" ht="15" customHeight="1" x14ac:dyDescent="1">
      <c r="M1487" s="164"/>
      <c r="N1487" s="164"/>
      <c r="O1487" s="164"/>
      <c r="P1487" s="164"/>
      <c r="Q1487" s="164"/>
      <c r="R1487" s="164"/>
    </row>
    <row r="1488" spans="13:18" ht="15" customHeight="1" x14ac:dyDescent="1">
      <c r="M1488" s="164"/>
      <c r="N1488" s="164"/>
      <c r="O1488" s="164"/>
      <c r="P1488" s="164"/>
      <c r="Q1488" s="164"/>
      <c r="R1488" s="164"/>
    </row>
    <row r="1489" spans="13:18" ht="15" customHeight="1" x14ac:dyDescent="1">
      <c r="M1489" s="164"/>
      <c r="N1489" s="164"/>
      <c r="O1489" s="164"/>
      <c r="P1489" s="164"/>
      <c r="Q1489" s="164"/>
      <c r="R1489" s="164"/>
    </row>
    <row r="1490" spans="13:18" ht="15" customHeight="1" x14ac:dyDescent="1">
      <c r="M1490" s="164"/>
      <c r="N1490" s="164"/>
      <c r="O1490" s="164"/>
      <c r="P1490" s="164"/>
      <c r="Q1490" s="164"/>
      <c r="R1490" s="164"/>
    </row>
    <row r="1491" spans="13:18" ht="15" customHeight="1" x14ac:dyDescent="1">
      <c r="M1491" s="164"/>
      <c r="N1491" s="164"/>
      <c r="O1491" s="164"/>
      <c r="P1491" s="164"/>
      <c r="Q1491" s="164"/>
      <c r="R1491" s="164"/>
    </row>
    <row r="1492" spans="13:18" ht="15" customHeight="1" x14ac:dyDescent="1">
      <c r="M1492" s="164"/>
      <c r="N1492" s="164"/>
      <c r="O1492" s="164"/>
      <c r="P1492" s="164"/>
      <c r="Q1492" s="164"/>
      <c r="R1492" s="164"/>
    </row>
    <row r="1493" spans="13:18" ht="15" customHeight="1" x14ac:dyDescent="1">
      <c r="M1493" s="164"/>
      <c r="N1493" s="164"/>
      <c r="O1493" s="164"/>
      <c r="P1493" s="164"/>
      <c r="Q1493" s="164"/>
      <c r="R1493" s="164"/>
    </row>
    <row r="1494" spans="13:18" ht="15" customHeight="1" x14ac:dyDescent="1">
      <c r="M1494" s="164"/>
      <c r="N1494" s="164"/>
      <c r="O1494" s="164"/>
      <c r="P1494" s="164"/>
      <c r="Q1494" s="164"/>
      <c r="R1494" s="164"/>
    </row>
    <row r="1495" spans="13:18" ht="15" customHeight="1" x14ac:dyDescent="1">
      <c r="M1495" s="164"/>
      <c r="N1495" s="164"/>
      <c r="O1495" s="164"/>
      <c r="P1495" s="164"/>
      <c r="Q1495" s="164"/>
      <c r="R1495" s="164"/>
    </row>
    <row r="1496" spans="13:18" ht="15" customHeight="1" x14ac:dyDescent="1">
      <c r="M1496" s="164"/>
      <c r="N1496" s="164"/>
      <c r="O1496" s="164"/>
      <c r="P1496" s="164"/>
      <c r="Q1496" s="164"/>
      <c r="R1496" s="164"/>
    </row>
    <row r="1497" spans="13:18" ht="15" customHeight="1" x14ac:dyDescent="1">
      <c r="M1497" s="164"/>
      <c r="N1497" s="164"/>
      <c r="O1497" s="164"/>
      <c r="P1497" s="164"/>
      <c r="Q1497" s="164"/>
      <c r="R1497" s="164"/>
    </row>
    <row r="1498" spans="13:18" ht="15" customHeight="1" x14ac:dyDescent="1">
      <c r="M1498" s="164"/>
      <c r="N1498" s="164"/>
      <c r="O1498" s="164"/>
      <c r="P1498" s="164"/>
      <c r="Q1498" s="164"/>
      <c r="R1498" s="164"/>
    </row>
    <row r="1499" spans="13:18" ht="15" customHeight="1" x14ac:dyDescent="1">
      <c r="M1499" s="164"/>
      <c r="N1499" s="164"/>
      <c r="O1499" s="164"/>
      <c r="P1499" s="164"/>
      <c r="Q1499" s="164"/>
      <c r="R1499" s="164"/>
    </row>
    <row r="1500" spans="13:18" ht="15" customHeight="1" x14ac:dyDescent="1">
      <c r="M1500" s="164"/>
      <c r="N1500" s="164"/>
      <c r="O1500" s="164"/>
      <c r="P1500" s="164"/>
      <c r="Q1500" s="164"/>
      <c r="R1500" s="164"/>
    </row>
    <row r="1501" spans="13:18" ht="15" customHeight="1" x14ac:dyDescent="1">
      <c r="M1501" s="164"/>
      <c r="N1501" s="164"/>
      <c r="O1501" s="164"/>
      <c r="P1501" s="164"/>
      <c r="Q1501" s="164"/>
      <c r="R1501" s="164"/>
    </row>
    <row r="1502" spans="13:18" ht="15" customHeight="1" x14ac:dyDescent="1">
      <c r="M1502" s="164"/>
      <c r="N1502" s="164"/>
      <c r="O1502" s="164"/>
      <c r="P1502" s="164"/>
      <c r="Q1502" s="164"/>
      <c r="R1502" s="164"/>
    </row>
    <row r="1503" spans="13:18" ht="15" customHeight="1" x14ac:dyDescent="1">
      <c r="M1503" s="164"/>
      <c r="N1503" s="164"/>
      <c r="O1503" s="164"/>
      <c r="P1503" s="164"/>
      <c r="Q1503" s="164"/>
      <c r="R1503" s="164"/>
    </row>
    <row r="1504" spans="13:18" ht="15" customHeight="1" x14ac:dyDescent="1">
      <c r="M1504" s="164"/>
      <c r="N1504" s="164"/>
      <c r="O1504" s="164"/>
      <c r="P1504" s="164"/>
      <c r="Q1504" s="164"/>
      <c r="R1504" s="164"/>
    </row>
    <row r="1505" spans="13:18" ht="15" customHeight="1" x14ac:dyDescent="1">
      <c r="M1505" s="164"/>
      <c r="N1505" s="164"/>
      <c r="O1505" s="164"/>
      <c r="P1505" s="164"/>
      <c r="Q1505" s="164"/>
      <c r="R1505" s="164"/>
    </row>
    <row r="1506" spans="13:18" ht="15" customHeight="1" x14ac:dyDescent="1">
      <c r="M1506" s="164"/>
      <c r="N1506" s="164"/>
      <c r="O1506" s="164"/>
      <c r="P1506" s="164"/>
      <c r="Q1506" s="164"/>
      <c r="R1506" s="164"/>
    </row>
    <row r="1507" spans="13:18" ht="15" customHeight="1" x14ac:dyDescent="1">
      <c r="M1507" s="164"/>
      <c r="N1507" s="164"/>
      <c r="O1507" s="164"/>
      <c r="P1507" s="164"/>
      <c r="Q1507" s="164"/>
      <c r="R1507" s="164"/>
    </row>
    <row r="1508" spans="13:18" ht="15" customHeight="1" x14ac:dyDescent="1">
      <c r="M1508" s="164"/>
      <c r="N1508" s="164"/>
      <c r="O1508" s="164"/>
      <c r="P1508" s="164"/>
      <c r="Q1508" s="164"/>
      <c r="R1508" s="164"/>
    </row>
    <row r="1509" spans="13:18" ht="15" customHeight="1" x14ac:dyDescent="1">
      <c r="M1509" s="164"/>
      <c r="N1509" s="164"/>
      <c r="O1509" s="164"/>
      <c r="P1509" s="164"/>
      <c r="Q1509" s="164"/>
      <c r="R1509" s="164"/>
    </row>
    <row r="1510" spans="13:18" ht="15" customHeight="1" x14ac:dyDescent="1">
      <c r="M1510" s="164"/>
      <c r="N1510" s="164"/>
      <c r="O1510" s="164"/>
      <c r="P1510" s="164"/>
      <c r="Q1510" s="164"/>
      <c r="R1510" s="164"/>
    </row>
    <row r="1511" spans="13:18" ht="15" customHeight="1" x14ac:dyDescent="1">
      <c r="M1511" s="164"/>
      <c r="N1511" s="164"/>
      <c r="O1511" s="164"/>
      <c r="P1511" s="164"/>
      <c r="Q1511" s="164"/>
      <c r="R1511" s="164"/>
    </row>
    <row r="1512" spans="13:18" ht="15" customHeight="1" x14ac:dyDescent="1">
      <c r="M1512" s="164"/>
      <c r="N1512" s="164"/>
      <c r="O1512" s="164"/>
      <c r="P1512" s="164"/>
      <c r="Q1512" s="164"/>
      <c r="R1512" s="164"/>
    </row>
    <row r="1513" spans="13:18" ht="15" customHeight="1" x14ac:dyDescent="1">
      <c r="M1513" s="164"/>
      <c r="N1513" s="164"/>
      <c r="O1513" s="164"/>
      <c r="P1513" s="164"/>
      <c r="Q1513" s="164"/>
      <c r="R1513" s="164"/>
    </row>
    <row r="1514" spans="13:18" ht="15" customHeight="1" x14ac:dyDescent="1">
      <c r="M1514" s="164"/>
      <c r="N1514" s="164"/>
      <c r="O1514" s="164"/>
      <c r="P1514" s="164"/>
      <c r="Q1514" s="164"/>
      <c r="R1514" s="164"/>
    </row>
    <row r="1515" spans="13:18" ht="15" customHeight="1" x14ac:dyDescent="1">
      <c r="M1515" s="164"/>
      <c r="N1515" s="164"/>
      <c r="O1515" s="164"/>
      <c r="P1515" s="164"/>
      <c r="Q1515" s="164"/>
      <c r="R1515" s="164"/>
    </row>
    <row r="1516" spans="13:18" ht="15" customHeight="1" x14ac:dyDescent="1">
      <c r="M1516" s="164"/>
      <c r="N1516" s="164"/>
      <c r="O1516" s="164"/>
      <c r="P1516" s="164"/>
      <c r="Q1516" s="164"/>
      <c r="R1516" s="164"/>
    </row>
    <row r="1517" spans="13:18" ht="15" customHeight="1" x14ac:dyDescent="1">
      <c r="M1517" s="164"/>
      <c r="N1517" s="164"/>
      <c r="O1517" s="164"/>
      <c r="P1517" s="164"/>
      <c r="Q1517" s="164"/>
      <c r="R1517" s="164"/>
    </row>
    <row r="1518" spans="13:18" ht="15" customHeight="1" x14ac:dyDescent="1">
      <c r="M1518" s="164"/>
      <c r="N1518" s="164"/>
      <c r="O1518" s="164"/>
      <c r="P1518" s="164"/>
      <c r="Q1518" s="164"/>
      <c r="R1518" s="164"/>
    </row>
    <row r="1519" spans="13:18" ht="15" customHeight="1" x14ac:dyDescent="1">
      <c r="M1519" s="164"/>
      <c r="N1519" s="164"/>
      <c r="O1519" s="164"/>
      <c r="P1519" s="164"/>
      <c r="Q1519" s="164"/>
      <c r="R1519" s="164"/>
    </row>
    <row r="1520" spans="13:18" ht="15" customHeight="1" x14ac:dyDescent="1">
      <c r="M1520" s="164"/>
      <c r="N1520" s="164"/>
      <c r="O1520" s="164"/>
      <c r="P1520" s="164"/>
      <c r="Q1520" s="164"/>
      <c r="R1520" s="164"/>
    </row>
    <row r="1521" spans="13:18" ht="15" customHeight="1" x14ac:dyDescent="1">
      <c r="M1521" s="164"/>
      <c r="N1521" s="164"/>
      <c r="O1521" s="164"/>
      <c r="P1521" s="164"/>
      <c r="Q1521" s="164"/>
      <c r="R1521" s="164"/>
    </row>
    <row r="1522" spans="13:18" ht="15" customHeight="1" x14ac:dyDescent="1">
      <c r="M1522" s="164"/>
      <c r="N1522" s="164"/>
      <c r="O1522" s="164"/>
      <c r="P1522" s="164"/>
      <c r="Q1522" s="164"/>
      <c r="R1522" s="164"/>
    </row>
    <row r="1523" spans="13:18" ht="15" customHeight="1" x14ac:dyDescent="1">
      <c r="M1523" s="164"/>
      <c r="N1523" s="164"/>
      <c r="O1523" s="164"/>
      <c r="P1523" s="164"/>
      <c r="Q1523" s="164"/>
      <c r="R1523" s="164"/>
    </row>
    <row r="1524" spans="13:18" ht="15" customHeight="1" x14ac:dyDescent="1">
      <c r="M1524" s="164"/>
      <c r="N1524" s="164"/>
      <c r="O1524" s="164"/>
      <c r="P1524" s="164"/>
      <c r="Q1524" s="164"/>
      <c r="R1524" s="164"/>
    </row>
    <row r="1525" spans="13:18" ht="15" customHeight="1" x14ac:dyDescent="1">
      <c r="M1525" s="164"/>
      <c r="N1525" s="164"/>
      <c r="O1525" s="164"/>
      <c r="P1525" s="164"/>
      <c r="Q1525" s="164"/>
      <c r="R1525" s="164"/>
    </row>
    <row r="1526" spans="13:18" ht="15" customHeight="1" x14ac:dyDescent="1">
      <c r="M1526" s="164"/>
      <c r="N1526" s="164"/>
      <c r="O1526" s="164"/>
      <c r="P1526" s="164"/>
      <c r="Q1526" s="164"/>
      <c r="R1526" s="164"/>
    </row>
    <row r="1527" spans="13:18" ht="15" customHeight="1" x14ac:dyDescent="1">
      <c r="M1527" s="164"/>
      <c r="N1527" s="164"/>
      <c r="O1527" s="164"/>
      <c r="P1527" s="164"/>
      <c r="Q1527" s="164"/>
      <c r="R1527" s="164"/>
    </row>
    <row r="1528" spans="13:18" ht="15" customHeight="1" x14ac:dyDescent="1">
      <c r="M1528" s="164"/>
      <c r="N1528" s="164"/>
      <c r="O1528" s="164"/>
      <c r="P1528" s="164"/>
      <c r="Q1528" s="164"/>
      <c r="R1528" s="164"/>
    </row>
    <row r="1529" spans="13:18" ht="15" customHeight="1" x14ac:dyDescent="1">
      <c r="M1529" s="164"/>
      <c r="N1529" s="164"/>
      <c r="O1529" s="164"/>
      <c r="P1529" s="164"/>
      <c r="Q1529" s="164"/>
      <c r="R1529" s="164"/>
    </row>
    <row r="1530" spans="13:18" ht="15" customHeight="1" x14ac:dyDescent="1">
      <c r="M1530" s="164"/>
      <c r="N1530" s="164"/>
      <c r="O1530" s="164"/>
      <c r="P1530" s="164"/>
      <c r="Q1530" s="164"/>
      <c r="R1530" s="164"/>
    </row>
    <row r="1531" spans="13:18" ht="15" customHeight="1" x14ac:dyDescent="1">
      <c r="M1531" s="164"/>
      <c r="N1531" s="164"/>
      <c r="O1531" s="164"/>
      <c r="P1531" s="164"/>
      <c r="Q1531" s="164"/>
      <c r="R1531" s="164"/>
    </row>
    <row r="1532" spans="13:18" ht="15" customHeight="1" x14ac:dyDescent="1">
      <c r="M1532" s="164"/>
      <c r="N1532" s="164"/>
      <c r="O1532" s="164"/>
      <c r="P1532" s="164"/>
      <c r="Q1532" s="164"/>
      <c r="R1532" s="164"/>
    </row>
    <row r="1533" spans="13:18" ht="15" customHeight="1" x14ac:dyDescent="1">
      <c r="M1533" s="164"/>
      <c r="N1533" s="164"/>
      <c r="O1533" s="164"/>
      <c r="P1533" s="164"/>
      <c r="Q1533" s="164"/>
      <c r="R1533" s="164"/>
    </row>
    <row r="1534" spans="13:18" ht="15" customHeight="1" x14ac:dyDescent="1">
      <c r="M1534" s="164"/>
      <c r="N1534" s="164"/>
      <c r="O1534" s="164"/>
      <c r="P1534" s="164"/>
      <c r="Q1534" s="164"/>
      <c r="R1534" s="164"/>
    </row>
    <row r="1535" spans="13:18" ht="15" customHeight="1" x14ac:dyDescent="1">
      <c r="M1535" s="164"/>
      <c r="N1535" s="164"/>
      <c r="O1535" s="164"/>
      <c r="P1535" s="164"/>
      <c r="Q1535" s="164"/>
      <c r="R1535" s="164"/>
    </row>
    <row r="1536" spans="13:18" ht="15" customHeight="1" x14ac:dyDescent="1">
      <c r="M1536" s="164"/>
      <c r="N1536" s="164"/>
      <c r="O1536" s="164"/>
      <c r="P1536" s="164"/>
      <c r="Q1536" s="164"/>
      <c r="R1536" s="164"/>
    </row>
    <row r="1537" spans="13:18" ht="15" customHeight="1" x14ac:dyDescent="1">
      <c r="M1537" s="164"/>
      <c r="N1537" s="164"/>
      <c r="O1537" s="164"/>
      <c r="P1537" s="164"/>
      <c r="Q1537" s="164"/>
      <c r="R1537" s="164"/>
    </row>
    <row r="1538" spans="13:18" ht="15" customHeight="1" x14ac:dyDescent="1">
      <c r="M1538" s="164"/>
      <c r="N1538" s="164"/>
      <c r="O1538" s="164"/>
      <c r="P1538" s="164"/>
      <c r="Q1538" s="164"/>
      <c r="R1538" s="164"/>
    </row>
    <row r="1539" spans="13:18" ht="15" customHeight="1" x14ac:dyDescent="1">
      <c r="M1539" s="164"/>
      <c r="N1539" s="164"/>
      <c r="O1539" s="164"/>
      <c r="P1539" s="164"/>
      <c r="Q1539" s="164"/>
      <c r="R1539" s="164"/>
    </row>
    <row r="1540" spans="13:18" ht="15" customHeight="1" x14ac:dyDescent="1">
      <c r="M1540" s="164"/>
      <c r="N1540" s="164"/>
      <c r="O1540" s="164"/>
      <c r="P1540" s="164"/>
      <c r="Q1540" s="164"/>
      <c r="R1540" s="164"/>
    </row>
    <row r="1541" spans="13:18" ht="15" customHeight="1" x14ac:dyDescent="1">
      <c r="M1541" s="164"/>
      <c r="N1541" s="164"/>
      <c r="O1541" s="164"/>
      <c r="P1541" s="164"/>
      <c r="Q1541" s="164"/>
      <c r="R1541" s="164"/>
    </row>
    <row r="1542" spans="13:18" ht="15" customHeight="1" x14ac:dyDescent="1">
      <c r="M1542" s="164"/>
      <c r="N1542" s="164"/>
      <c r="O1542" s="164"/>
      <c r="P1542" s="164"/>
      <c r="Q1542" s="164"/>
      <c r="R1542" s="164"/>
    </row>
    <row r="1543" spans="13:18" ht="15" customHeight="1" x14ac:dyDescent="1">
      <c r="M1543" s="164"/>
      <c r="N1543" s="164"/>
      <c r="O1543" s="164"/>
      <c r="P1543" s="164"/>
      <c r="Q1543" s="164"/>
      <c r="R1543" s="164"/>
    </row>
    <row r="1544" spans="13:18" ht="15" customHeight="1" x14ac:dyDescent="1">
      <c r="M1544" s="164"/>
      <c r="N1544" s="164"/>
      <c r="O1544" s="164"/>
      <c r="P1544" s="164"/>
      <c r="Q1544" s="164"/>
      <c r="R1544" s="164"/>
    </row>
    <row r="1545" spans="13:18" ht="15" customHeight="1" x14ac:dyDescent="1">
      <c r="M1545" s="164"/>
      <c r="N1545" s="164"/>
      <c r="O1545" s="164"/>
      <c r="P1545" s="164"/>
      <c r="Q1545" s="164"/>
      <c r="R1545" s="164"/>
    </row>
    <row r="1546" spans="13:18" ht="15" customHeight="1" x14ac:dyDescent="1">
      <c r="M1546" s="164"/>
      <c r="N1546" s="164"/>
      <c r="O1546" s="164"/>
      <c r="P1546" s="164"/>
      <c r="Q1546" s="164"/>
      <c r="R1546" s="164"/>
    </row>
    <row r="1547" spans="13:18" ht="15" customHeight="1" x14ac:dyDescent="1">
      <c r="M1547" s="164"/>
      <c r="N1547" s="164"/>
      <c r="O1547" s="164"/>
      <c r="P1547" s="164"/>
      <c r="Q1547" s="164"/>
      <c r="R1547" s="164"/>
    </row>
    <row r="1548" spans="13:18" ht="15" customHeight="1" x14ac:dyDescent="1">
      <c r="M1548" s="164"/>
      <c r="N1548" s="164"/>
      <c r="O1548" s="164"/>
      <c r="P1548" s="164"/>
      <c r="Q1548" s="164"/>
      <c r="R1548" s="164"/>
    </row>
    <row r="1549" spans="13:18" ht="15" customHeight="1" x14ac:dyDescent="1">
      <c r="M1549" s="164"/>
      <c r="N1549" s="164"/>
      <c r="O1549" s="164"/>
      <c r="P1549" s="164"/>
      <c r="Q1549" s="164"/>
      <c r="R1549" s="164"/>
    </row>
    <row r="1550" spans="13:18" ht="15" customHeight="1" x14ac:dyDescent="1">
      <c r="M1550" s="164"/>
      <c r="N1550" s="164"/>
      <c r="O1550" s="164"/>
      <c r="P1550" s="164"/>
      <c r="Q1550" s="164"/>
      <c r="R1550" s="164"/>
    </row>
    <row r="1551" spans="13:18" ht="15" customHeight="1" x14ac:dyDescent="1">
      <c r="M1551" s="164"/>
      <c r="N1551" s="164"/>
      <c r="O1551" s="164"/>
      <c r="P1551" s="164"/>
      <c r="Q1551" s="164"/>
      <c r="R1551" s="164"/>
    </row>
    <row r="1552" spans="13:18" ht="15" customHeight="1" x14ac:dyDescent="1">
      <c r="M1552" s="164"/>
      <c r="N1552" s="164"/>
      <c r="O1552" s="164"/>
      <c r="P1552" s="164"/>
      <c r="Q1552" s="164"/>
      <c r="R1552" s="164"/>
    </row>
    <row r="1553" spans="13:18" ht="15" customHeight="1" x14ac:dyDescent="1">
      <c r="M1553" s="164"/>
      <c r="N1553" s="164"/>
      <c r="O1553" s="164"/>
      <c r="P1553" s="164"/>
      <c r="Q1553" s="164"/>
      <c r="R1553" s="164"/>
    </row>
    <row r="1554" spans="13:18" ht="15" customHeight="1" x14ac:dyDescent="1">
      <c r="M1554" s="164"/>
      <c r="N1554" s="164"/>
      <c r="O1554" s="164"/>
      <c r="P1554" s="164"/>
      <c r="Q1554" s="164"/>
      <c r="R1554" s="164"/>
    </row>
    <row r="1555" spans="13:18" ht="15" customHeight="1" x14ac:dyDescent="1">
      <c r="M1555" s="164"/>
      <c r="N1555" s="164"/>
      <c r="O1555" s="164"/>
      <c r="P1555" s="164"/>
      <c r="Q1555" s="164"/>
      <c r="R1555" s="164"/>
    </row>
    <row r="1556" spans="13:18" ht="15" customHeight="1" x14ac:dyDescent="1">
      <c r="M1556" s="164"/>
      <c r="N1556" s="164"/>
      <c r="O1556" s="164"/>
      <c r="P1556" s="164"/>
      <c r="Q1556" s="164"/>
      <c r="R1556" s="164"/>
    </row>
    <row r="1557" spans="13:18" ht="15" customHeight="1" x14ac:dyDescent="1">
      <c r="M1557" s="164"/>
      <c r="N1557" s="164"/>
      <c r="O1557" s="164"/>
      <c r="P1557" s="164"/>
      <c r="Q1557" s="164"/>
      <c r="R1557" s="164"/>
    </row>
    <row r="1558" spans="13:18" ht="15" customHeight="1" x14ac:dyDescent="1">
      <c r="M1558" s="164"/>
      <c r="N1558" s="164"/>
      <c r="O1558" s="164"/>
      <c r="P1558" s="164"/>
      <c r="Q1558" s="164"/>
      <c r="R1558" s="164"/>
    </row>
    <row r="1559" spans="13:18" ht="15" customHeight="1" x14ac:dyDescent="1">
      <c r="M1559" s="164"/>
      <c r="N1559" s="164"/>
      <c r="O1559" s="164"/>
      <c r="P1559" s="164"/>
      <c r="Q1559" s="164"/>
      <c r="R1559" s="164"/>
    </row>
    <row r="1560" spans="13:18" ht="15" customHeight="1" x14ac:dyDescent="1">
      <c r="M1560" s="164"/>
      <c r="N1560" s="164"/>
      <c r="O1560" s="164"/>
      <c r="P1560" s="164"/>
      <c r="Q1560" s="164"/>
      <c r="R1560" s="164"/>
    </row>
    <row r="1561" spans="13:18" ht="15" customHeight="1" x14ac:dyDescent="1">
      <c r="M1561" s="164"/>
      <c r="N1561" s="164"/>
      <c r="O1561" s="164"/>
      <c r="P1561" s="164"/>
      <c r="Q1561" s="164"/>
      <c r="R1561" s="164"/>
    </row>
    <row r="1562" spans="13:18" ht="15" customHeight="1" x14ac:dyDescent="1">
      <c r="M1562" s="164"/>
      <c r="N1562" s="164"/>
      <c r="O1562" s="164"/>
      <c r="P1562" s="164"/>
      <c r="Q1562" s="164"/>
      <c r="R1562" s="164"/>
    </row>
    <row r="1563" spans="13:18" ht="15" customHeight="1" x14ac:dyDescent="1">
      <c r="M1563" s="164"/>
      <c r="N1563" s="164"/>
      <c r="O1563" s="164"/>
      <c r="P1563" s="164"/>
      <c r="Q1563" s="164"/>
      <c r="R1563" s="164"/>
    </row>
    <row r="1564" spans="13:18" ht="15" customHeight="1" x14ac:dyDescent="1">
      <c r="M1564" s="164"/>
      <c r="N1564" s="164"/>
      <c r="O1564" s="164"/>
      <c r="P1564" s="164"/>
      <c r="Q1564" s="164"/>
      <c r="R1564" s="164"/>
    </row>
    <row r="1565" spans="13:18" ht="15" customHeight="1" x14ac:dyDescent="1">
      <c r="M1565" s="164"/>
      <c r="N1565" s="164"/>
      <c r="O1565" s="164"/>
      <c r="P1565" s="164"/>
      <c r="Q1565" s="164"/>
      <c r="R1565" s="164"/>
    </row>
    <row r="1566" spans="13:18" ht="15" customHeight="1" x14ac:dyDescent="1">
      <c r="M1566" s="164"/>
      <c r="N1566" s="164"/>
      <c r="O1566" s="164"/>
      <c r="P1566" s="164"/>
      <c r="Q1566" s="164"/>
      <c r="R1566" s="164"/>
    </row>
    <row r="1567" spans="13:18" ht="15" customHeight="1" x14ac:dyDescent="1">
      <c r="M1567" s="164"/>
      <c r="N1567" s="164"/>
      <c r="O1567" s="164"/>
      <c r="P1567" s="164"/>
      <c r="Q1567" s="164"/>
      <c r="R1567" s="164"/>
    </row>
    <row r="1568" spans="13:18" ht="15" customHeight="1" x14ac:dyDescent="1">
      <c r="M1568" s="164"/>
      <c r="N1568" s="164"/>
      <c r="O1568" s="164"/>
      <c r="P1568" s="164"/>
      <c r="Q1568" s="164"/>
      <c r="R1568" s="164"/>
    </row>
    <row r="1569" spans="13:18" ht="15" customHeight="1" x14ac:dyDescent="1">
      <c r="M1569" s="164"/>
      <c r="N1569" s="164"/>
      <c r="O1569" s="164"/>
      <c r="P1569" s="164"/>
      <c r="Q1569" s="164"/>
      <c r="R1569" s="164"/>
    </row>
    <row r="1570" spans="13:18" ht="15" customHeight="1" x14ac:dyDescent="1">
      <c r="M1570" s="164"/>
      <c r="N1570" s="164"/>
      <c r="O1570" s="164"/>
      <c r="P1570" s="164"/>
      <c r="Q1570" s="164"/>
      <c r="R1570" s="164"/>
    </row>
    <row r="1571" spans="13:18" ht="15" customHeight="1" x14ac:dyDescent="1">
      <c r="M1571" s="164"/>
      <c r="N1571" s="164"/>
      <c r="O1571" s="164"/>
      <c r="P1571" s="164"/>
      <c r="Q1571" s="164"/>
      <c r="R1571" s="164"/>
    </row>
    <row r="1572" spans="13:18" ht="15" customHeight="1" x14ac:dyDescent="1">
      <c r="M1572" s="164"/>
      <c r="N1572" s="164"/>
      <c r="O1572" s="164"/>
      <c r="P1572" s="164"/>
      <c r="Q1572" s="164"/>
      <c r="R1572" s="164"/>
    </row>
    <row r="1573" spans="13:18" ht="15" customHeight="1" x14ac:dyDescent="1">
      <c r="M1573" s="164"/>
      <c r="N1573" s="164"/>
      <c r="O1573" s="164"/>
      <c r="P1573" s="164"/>
      <c r="Q1573" s="164"/>
      <c r="R1573" s="164"/>
    </row>
    <row r="1574" spans="13:18" ht="15" customHeight="1" x14ac:dyDescent="1">
      <c r="M1574" s="164"/>
      <c r="N1574" s="164"/>
      <c r="O1574" s="164"/>
      <c r="P1574" s="164"/>
      <c r="Q1574" s="164"/>
      <c r="R1574" s="164"/>
    </row>
    <row r="1575" spans="13:18" ht="15" customHeight="1" x14ac:dyDescent="1">
      <c r="M1575" s="164"/>
      <c r="N1575" s="164"/>
      <c r="O1575" s="164"/>
      <c r="P1575" s="164"/>
      <c r="Q1575" s="164"/>
      <c r="R1575" s="164"/>
    </row>
    <row r="1576" spans="13:18" ht="15" customHeight="1" x14ac:dyDescent="1">
      <c r="M1576" s="164"/>
      <c r="N1576" s="164"/>
      <c r="O1576" s="164"/>
      <c r="P1576" s="164"/>
      <c r="Q1576" s="164"/>
      <c r="R1576" s="164"/>
    </row>
    <row r="1577" spans="13:18" ht="15" customHeight="1" x14ac:dyDescent="1">
      <c r="M1577" s="164"/>
      <c r="N1577" s="164"/>
      <c r="O1577" s="164"/>
      <c r="P1577" s="164"/>
      <c r="Q1577" s="164"/>
      <c r="R1577" s="164"/>
    </row>
    <row r="1578" spans="13:18" ht="15" customHeight="1" x14ac:dyDescent="1">
      <c r="M1578" s="164"/>
      <c r="N1578" s="164"/>
      <c r="O1578" s="164"/>
      <c r="P1578" s="164"/>
      <c r="Q1578" s="164"/>
      <c r="R1578" s="164"/>
    </row>
    <row r="1579" spans="13:18" ht="15" customHeight="1" x14ac:dyDescent="1">
      <c r="M1579" s="164"/>
      <c r="N1579" s="164"/>
      <c r="O1579" s="164"/>
      <c r="P1579" s="164"/>
      <c r="Q1579" s="164"/>
      <c r="R1579" s="164"/>
    </row>
    <row r="1580" spans="13:18" ht="15" customHeight="1" x14ac:dyDescent="1">
      <c r="M1580" s="164"/>
      <c r="N1580" s="164"/>
      <c r="O1580" s="164"/>
      <c r="P1580" s="164"/>
      <c r="Q1580" s="164"/>
      <c r="R1580" s="164"/>
    </row>
    <row r="1581" spans="13:18" ht="15" customHeight="1" x14ac:dyDescent="1">
      <c r="M1581" s="164"/>
      <c r="N1581" s="164"/>
      <c r="O1581" s="164"/>
      <c r="P1581" s="164"/>
      <c r="Q1581" s="164"/>
      <c r="R1581" s="164"/>
    </row>
    <row r="1582" spans="13:18" ht="15" customHeight="1" x14ac:dyDescent="1">
      <c r="M1582" s="164"/>
      <c r="N1582" s="164"/>
      <c r="O1582" s="164"/>
      <c r="P1582" s="164"/>
      <c r="Q1582" s="164"/>
      <c r="R1582" s="164"/>
    </row>
    <row r="1583" spans="13:18" ht="15" customHeight="1" x14ac:dyDescent="1">
      <c r="M1583" s="164"/>
      <c r="N1583" s="164"/>
      <c r="O1583" s="164"/>
      <c r="P1583" s="164"/>
      <c r="Q1583" s="164"/>
      <c r="R1583" s="164"/>
    </row>
    <row r="1584" spans="13:18" ht="15" customHeight="1" x14ac:dyDescent="1">
      <c r="M1584" s="164"/>
      <c r="N1584" s="164"/>
      <c r="O1584" s="164"/>
      <c r="P1584" s="164"/>
      <c r="Q1584" s="164"/>
      <c r="R1584" s="164"/>
    </row>
    <row r="1585" spans="13:18" ht="15" customHeight="1" x14ac:dyDescent="1">
      <c r="M1585" s="164"/>
      <c r="N1585" s="164"/>
      <c r="O1585" s="164"/>
      <c r="P1585" s="164"/>
      <c r="Q1585" s="164"/>
      <c r="R1585" s="164"/>
    </row>
    <row r="1586" spans="13:18" ht="15" customHeight="1" x14ac:dyDescent="1">
      <c r="M1586" s="164"/>
      <c r="N1586" s="164"/>
      <c r="O1586" s="164"/>
      <c r="P1586" s="164"/>
      <c r="Q1586" s="164"/>
      <c r="R1586" s="164"/>
    </row>
    <row r="1587" spans="13:18" ht="15" customHeight="1" x14ac:dyDescent="1">
      <c r="M1587" s="164"/>
      <c r="N1587" s="164"/>
      <c r="O1587" s="164"/>
      <c r="P1587" s="164"/>
      <c r="Q1587" s="164"/>
      <c r="R1587" s="164"/>
    </row>
    <row r="1588" spans="13:18" ht="15" customHeight="1" x14ac:dyDescent="1">
      <c r="M1588" s="164"/>
      <c r="N1588" s="164"/>
      <c r="O1588" s="164"/>
      <c r="P1588" s="164"/>
      <c r="Q1588" s="164"/>
      <c r="R1588" s="164"/>
    </row>
    <row r="1589" spans="13:18" ht="15" customHeight="1" x14ac:dyDescent="1">
      <c r="M1589" s="164"/>
      <c r="N1589" s="164"/>
      <c r="O1589" s="164"/>
      <c r="P1589" s="164"/>
      <c r="Q1589" s="164"/>
      <c r="R1589" s="164"/>
    </row>
    <row r="1590" spans="13:18" ht="15" customHeight="1" x14ac:dyDescent="1">
      <c r="M1590" s="164"/>
      <c r="N1590" s="164"/>
      <c r="O1590" s="164"/>
      <c r="P1590" s="164"/>
      <c r="Q1590" s="164"/>
      <c r="R1590" s="164"/>
    </row>
    <row r="1591" spans="13:18" ht="15" customHeight="1" x14ac:dyDescent="1">
      <c r="M1591" s="164"/>
      <c r="N1591" s="164"/>
      <c r="O1591" s="164"/>
      <c r="P1591" s="164"/>
      <c r="Q1591" s="164"/>
      <c r="R1591" s="164"/>
    </row>
    <row r="1592" spans="13:18" ht="15" customHeight="1" x14ac:dyDescent="1">
      <c r="M1592" s="164"/>
      <c r="N1592" s="164"/>
      <c r="O1592" s="164"/>
      <c r="P1592" s="164"/>
      <c r="Q1592" s="164"/>
      <c r="R1592" s="164"/>
    </row>
    <row r="1593" spans="13:18" ht="15" customHeight="1" x14ac:dyDescent="1">
      <c r="M1593" s="164"/>
      <c r="N1593" s="164"/>
      <c r="O1593" s="164"/>
      <c r="P1593" s="164"/>
      <c r="Q1593" s="164"/>
      <c r="R1593" s="164"/>
    </row>
    <row r="1594" spans="13:18" ht="15" customHeight="1" x14ac:dyDescent="1">
      <c r="M1594" s="164"/>
      <c r="N1594" s="164"/>
      <c r="O1594" s="164"/>
      <c r="P1594" s="164"/>
      <c r="Q1594" s="164"/>
      <c r="R1594" s="164"/>
    </row>
    <row r="1595" spans="13:18" ht="15" customHeight="1" x14ac:dyDescent="1">
      <c r="M1595" s="164"/>
      <c r="N1595" s="164"/>
      <c r="O1595" s="164"/>
      <c r="P1595" s="164"/>
      <c r="Q1595" s="164"/>
      <c r="R1595" s="164"/>
    </row>
    <row r="1596" spans="13:18" ht="15" customHeight="1" x14ac:dyDescent="1">
      <c r="M1596" s="164"/>
      <c r="N1596" s="164"/>
      <c r="O1596" s="164"/>
      <c r="P1596" s="164"/>
      <c r="Q1596" s="164"/>
      <c r="R1596" s="164"/>
    </row>
    <row r="1597" spans="13:18" ht="15" customHeight="1" x14ac:dyDescent="1">
      <c r="M1597" s="164"/>
      <c r="N1597" s="164"/>
      <c r="O1597" s="164"/>
      <c r="P1597" s="164"/>
      <c r="Q1597" s="164"/>
      <c r="R1597" s="164"/>
    </row>
    <row r="1598" spans="13:18" ht="15" customHeight="1" x14ac:dyDescent="1">
      <c r="M1598" s="164"/>
      <c r="N1598" s="164"/>
      <c r="O1598" s="164"/>
      <c r="P1598" s="164"/>
      <c r="Q1598" s="164"/>
      <c r="R1598" s="164"/>
    </row>
    <row r="1599" spans="13:18" ht="15" customHeight="1" x14ac:dyDescent="1">
      <c r="M1599" s="164"/>
      <c r="N1599" s="164"/>
      <c r="O1599" s="164"/>
      <c r="P1599" s="164"/>
      <c r="Q1599" s="164"/>
      <c r="R1599" s="164"/>
    </row>
    <row r="1600" spans="13:18" ht="15" customHeight="1" x14ac:dyDescent="1">
      <c r="M1600" s="164"/>
      <c r="N1600" s="164"/>
      <c r="O1600" s="164"/>
      <c r="P1600" s="164"/>
      <c r="Q1600" s="164"/>
      <c r="R1600" s="164"/>
    </row>
    <row r="1601" spans="13:18" ht="15" customHeight="1" x14ac:dyDescent="1">
      <c r="M1601" s="164"/>
      <c r="N1601" s="164"/>
      <c r="O1601" s="164"/>
      <c r="P1601" s="164"/>
      <c r="Q1601" s="164"/>
      <c r="R1601" s="164"/>
    </row>
    <row r="1602" spans="13:18" ht="15" customHeight="1" x14ac:dyDescent="1">
      <c r="M1602" s="164"/>
      <c r="N1602" s="164"/>
      <c r="O1602" s="164"/>
      <c r="P1602" s="164"/>
      <c r="Q1602" s="164"/>
      <c r="R1602" s="164"/>
    </row>
    <row r="1603" spans="13:18" ht="15" customHeight="1" x14ac:dyDescent="1">
      <c r="M1603" s="164"/>
      <c r="N1603" s="164"/>
      <c r="O1603" s="164"/>
      <c r="P1603" s="164"/>
      <c r="Q1603" s="164"/>
      <c r="R1603" s="164"/>
    </row>
    <row r="1604" spans="13:18" ht="15" customHeight="1" x14ac:dyDescent="1">
      <c r="M1604" s="164"/>
      <c r="N1604" s="164"/>
      <c r="O1604" s="164"/>
      <c r="P1604" s="164"/>
      <c r="Q1604" s="164"/>
      <c r="R1604" s="164"/>
    </row>
    <row r="1605" spans="13:18" ht="15" customHeight="1" x14ac:dyDescent="1">
      <c r="M1605" s="164"/>
      <c r="N1605" s="164"/>
      <c r="O1605" s="164"/>
      <c r="P1605" s="164"/>
      <c r="Q1605" s="164"/>
      <c r="R1605" s="164"/>
    </row>
    <row r="1606" spans="13:18" ht="15" customHeight="1" x14ac:dyDescent="1">
      <c r="M1606" s="164"/>
      <c r="N1606" s="164"/>
      <c r="O1606" s="164"/>
      <c r="P1606" s="164"/>
      <c r="Q1606" s="164"/>
      <c r="R1606" s="164"/>
    </row>
    <row r="1607" spans="13:18" ht="15" customHeight="1" x14ac:dyDescent="1">
      <c r="M1607" s="164"/>
      <c r="N1607" s="164"/>
      <c r="O1607" s="164"/>
      <c r="P1607" s="164"/>
      <c r="Q1607" s="164"/>
      <c r="R1607" s="164"/>
    </row>
    <row r="1608" spans="13:18" ht="15" customHeight="1" x14ac:dyDescent="1">
      <c r="M1608" s="164"/>
      <c r="N1608" s="164"/>
      <c r="O1608" s="164"/>
      <c r="P1608" s="164"/>
      <c r="Q1608" s="164"/>
      <c r="R1608" s="164"/>
    </row>
    <row r="1609" spans="13:18" ht="15" customHeight="1" x14ac:dyDescent="1">
      <c r="M1609" s="164"/>
      <c r="N1609" s="164"/>
      <c r="O1609" s="164"/>
      <c r="P1609" s="164"/>
      <c r="Q1609" s="164"/>
      <c r="R1609" s="164"/>
    </row>
    <row r="1610" spans="13:18" ht="15" customHeight="1" x14ac:dyDescent="1">
      <c r="M1610" s="164"/>
      <c r="N1610" s="164"/>
      <c r="O1610" s="164"/>
      <c r="P1610" s="164"/>
      <c r="Q1610" s="164"/>
      <c r="R1610" s="164"/>
    </row>
    <row r="1611" spans="13:18" ht="15" customHeight="1" x14ac:dyDescent="1">
      <c r="M1611" s="164"/>
      <c r="N1611" s="164"/>
      <c r="O1611" s="164"/>
      <c r="P1611" s="164"/>
      <c r="Q1611" s="164"/>
      <c r="R1611" s="164"/>
    </row>
    <row r="1612" spans="13:18" ht="15" customHeight="1" x14ac:dyDescent="1">
      <c r="M1612" s="164"/>
      <c r="N1612" s="164"/>
      <c r="O1612" s="164"/>
      <c r="P1612" s="164"/>
      <c r="Q1612" s="164"/>
      <c r="R1612" s="164"/>
    </row>
    <row r="1613" spans="13:18" ht="15" customHeight="1" x14ac:dyDescent="1">
      <c r="M1613" s="164"/>
      <c r="N1613" s="164"/>
      <c r="O1613" s="164"/>
      <c r="P1613" s="164"/>
      <c r="Q1613" s="164"/>
      <c r="R1613" s="164"/>
    </row>
    <row r="1614" spans="13:18" ht="15" customHeight="1" x14ac:dyDescent="1">
      <c r="M1614" s="164"/>
      <c r="N1614" s="164"/>
      <c r="O1614" s="164"/>
      <c r="P1614" s="164"/>
      <c r="Q1614" s="164"/>
      <c r="R1614" s="164"/>
    </row>
    <row r="1615" spans="13:18" ht="15" customHeight="1" x14ac:dyDescent="1">
      <c r="M1615" s="164"/>
      <c r="N1615" s="164"/>
      <c r="O1615" s="164"/>
      <c r="P1615" s="164"/>
      <c r="Q1615" s="164"/>
      <c r="R1615" s="164"/>
    </row>
    <row r="1616" spans="13:18" ht="15" customHeight="1" x14ac:dyDescent="1">
      <c r="M1616" s="164"/>
      <c r="N1616" s="164"/>
      <c r="O1616" s="164"/>
      <c r="P1616" s="164"/>
      <c r="Q1616" s="164"/>
      <c r="R1616" s="164"/>
    </row>
    <row r="1617" spans="13:18" ht="15" customHeight="1" x14ac:dyDescent="1">
      <c r="M1617" s="164"/>
      <c r="N1617" s="164"/>
      <c r="O1617" s="164"/>
      <c r="P1617" s="164"/>
      <c r="Q1617" s="164"/>
      <c r="R1617" s="164"/>
    </row>
    <row r="1618" spans="13:18" ht="15" customHeight="1" x14ac:dyDescent="1">
      <c r="M1618" s="164"/>
      <c r="N1618" s="164"/>
      <c r="O1618" s="164"/>
      <c r="P1618" s="164"/>
      <c r="Q1618" s="164"/>
      <c r="R1618" s="164"/>
    </row>
    <row r="1619" spans="13:18" ht="15" customHeight="1" x14ac:dyDescent="1">
      <c r="M1619" s="164"/>
      <c r="N1619" s="164"/>
      <c r="O1619" s="164"/>
      <c r="P1619" s="164"/>
      <c r="Q1619" s="164"/>
      <c r="R1619" s="164"/>
    </row>
    <row r="1620" spans="13:18" ht="15" customHeight="1" x14ac:dyDescent="1">
      <c r="M1620" s="164"/>
      <c r="N1620" s="164"/>
      <c r="O1620" s="164"/>
      <c r="P1620" s="164"/>
      <c r="Q1620" s="164"/>
      <c r="R1620" s="164"/>
    </row>
    <row r="1621" spans="13:18" ht="15" customHeight="1" x14ac:dyDescent="1">
      <c r="M1621" s="164"/>
      <c r="N1621" s="164"/>
      <c r="O1621" s="164"/>
      <c r="P1621" s="164"/>
      <c r="Q1621" s="164"/>
      <c r="R1621" s="164"/>
    </row>
    <row r="1622" spans="13:18" ht="15" customHeight="1" x14ac:dyDescent="1">
      <c r="M1622" s="164"/>
      <c r="N1622" s="164"/>
      <c r="O1622" s="164"/>
      <c r="P1622" s="164"/>
      <c r="Q1622" s="164"/>
      <c r="R1622" s="164"/>
    </row>
    <row r="1623" spans="13:18" ht="15" customHeight="1" x14ac:dyDescent="1">
      <c r="M1623" s="164"/>
      <c r="N1623" s="164"/>
      <c r="O1623" s="164"/>
      <c r="P1623" s="164"/>
      <c r="Q1623" s="164"/>
      <c r="R1623" s="164"/>
    </row>
    <row r="1624" spans="13:18" ht="15" customHeight="1" x14ac:dyDescent="1">
      <c r="M1624" s="164"/>
      <c r="N1624" s="164"/>
      <c r="O1624" s="164"/>
      <c r="P1624" s="164"/>
      <c r="Q1624" s="164"/>
      <c r="R1624" s="164"/>
    </row>
    <row r="1625" spans="13:18" ht="15" customHeight="1" x14ac:dyDescent="1">
      <c r="M1625" s="164"/>
      <c r="N1625" s="164"/>
      <c r="O1625" s="164"/>
      <c r="P1625" s="164"/>
      <c r="Q1625" s="164"/>
      <c r="R1625" s="164"/>
    </row>
    <row r="1626" spans="13:18" ht="15" customHeight="1" x14ac:dyDescent="1">
      <c r="M1626" s="164"/>
      <c r="N1626" s="164"/>
      <c r="O1626" s="164"/>
      <c r="P1626" s="164"/>
      <c r="Q1626" s="164"/>
      <c r="R1626" s="164"/>
    </row>
    <row r="1627" spans="13:18" ht="15" customHeight="1" x14ac:dyDescent="1">
      <c r="M1627" s="164"/>
      <c r="N1627" s="164"/>
      <c r="O1627" s="164"/>
      <c r="P1627" s="164"/>
      <c r="Q1627" s="164"/>
      <c r="R1627" s="164"/>
    </row>
    <row r="1628" spans="13:18" ht="15" customHeight="1" x14ac:dyDescent="1">
      <c r="M1628" s="164"/>
      <c r="N1628" s="164"/>
      <c r="O1628" s="164"/>
      <c r="P1628" s="164"/>
      <c r="Q1628" s="164"/>
      <c r="R1628" s="164"/>
    </row>
    <row r="1629" spans="13:18" ht="15" customHeight="1" x14ac:dyDescent="1">
      <c r="M1629" s="164"/>
      <c r="N1629" s="164"/>
      <c r="O1629" s="164"/>
      <c r="P1629" s="164"/>
      <c r="Q1629" s="164"/>
      <c r="R1629" s="164"/>
    </row>
    <row r="1630" spans="13:18" ht="15" customHeight="1" x14ac:dyDescent="1">
      <c r="M1630" s="164"/>
      <c r="N1630" s="164"/>
      <c r="O1630" s="164"/>
      <c r="P1630" s="164"/>
      <c r="Q1630" s="164"/>
      <c r="R1630" s="164"/>
    </row>
    <row r="1631" spans="13:18" ht="15" customHeight="1" x14ac:dyDescent="1">
      <c r="M1631" s="164"/>
      <c r="N1631" s="164"/>
      <c r="O1631" s="164"/>
      <c r="P1631" s="164"/>
      <c r="Q1631" s="164"/>
      <c r="R1631" s="164"/>
    </row>
    <row r="1632" spans="13:18" ht="15" customHeight="1" x14ac:dyDescent="1">
      <c r="M1632" s="164"/>
      <c r="N1632" s="164"/>
      <c r="O1632" s="164"/>
      <c r="P1632" s="164"/>
      <c r="Q1632" s="164"/>
      <c r="R1632" s="164"/>
    </row>
    <row r="1633" spans="13:18" ht="15" customHeight="1" x14ac:dyDescent="1">
      <c r="M1633" s="164"/>
      <c r="N1633" s="164"/>
      <c r="O1633" s="164"/>
      <c r="P1633" s="164"/>
      <c r="Q1633" s="164"/>
      <c r="R1633" s="164"/>
    </row>
    <row r="1634" spans="13:18" ht="15" customHeight="1" x14ac:dyDescent="1">
      <c r="M1634" s="164"/>
      <c r="N1634" s="164"/>
      <c r="O1634" s="164"/>
      <c r="P1634" s="164"/>
      <c r="Q1634" s="164"/>
      <c r="R1634" s="164"/>
    </row>
    <row r="1635" spans="13:18" ht="15" customHeight="1" x14ac:dyDescent="1">
      <c r="M1635" s="164"/>
      <c r="N1635" s="164"/>
      <c r="O1635" s="164"/>
      <c r="P1635" s="164"/>
      <c r="Q1635" s="164"/>
      <c r="R1635" s="164"/>
    </row>
    <row r="1636" spans="13:18" ht="15" customHeight="1" x14ac:dyDescent="1">
      <c r="M1636" s="164"/>
      <c r="N1636" s="164"/>
      <c r="O1636" s="164"/>
      <c r="P1636" s="164"/>
      <c r="Q1636" s="164"/>
      <c r="R1636" s="164"/>
    </row>
    <row r="1637" spans="13:18" ht="15" customHeight="1" x14ac:dyDescent="1">
      <c r="M1637" s="164"/>
      <c r="N1637" s="164"/>
      <c r="O1637" s="164"/>
      <c r="P1637" s="164"/>
      <c r="Q1637" s="164"/>
      <c r="R1637" s="164"/>
    </row>
    <row r="1638" spans="13:18" ht="15" customHeight="1" x14ac:dyDescent="1">
      <c r="M1638" s="164"/>
      <c r="N1638" s="164"/>
      <c r="O1638" s="164"/>
      <c r="P1638" s="164"/>
      <c r="Q1638" s="164"/>
      <c r="R1638" s="164"/>
    </row>
    <row r="1639" spans="13:18" ht="15" customHeight="1" x14ac:dyDescent="1">
      <c r="M1639" s="164"/>
      <c r="N1639" s="164"/>
      <c r="O1639" s="164"/>
      <c r="P1639" s="164"/>
      <c r="Q1639" s="164"/>
      <c r="R1639" s="164"/>
    </row>
    <row r="1640" spans="13:18" ht="15" customHeight="1" x14ac:dyDescent="1">
      <c r="M1640" s="164"/>
      <c r="N1640" s="164"/>
      <c r="O1640" s="164"/>
      <c r="P1640" s="164"/>
      <c r="Q1640" s="164"/>
      <c r="R1640" s="164"/>
    </row>
    <row r="1641" spans="13:18" ht="15" customHeight="1" x14ac:dyDescent="1">
      <c r="M1641" s="164"/>
      <c r="N1641" s="164"/>
      <c r="O1641" s="164"/>
      <c r="P1641" s="164"/>
      <c r="Q1641" s="164"/>
      <c r="R1641" s="164"/>
    </row>
    <row r="1643" spans="13:18" ht="15" customHeight="1" x14ac:dyDescent="1">
      <c r="M1643" s="162"/>
      <c r="N1643" s="162"/>
    </row>
    <row r="1644" spans="13:18" ht="15" customHeight="1" x14ac:dyDescent="1">
      <c r="M1644" s="163"/>
      <c r="N1644" s="163"/>
      <c r="O1644" s="163"/>
      <c r="P1644" s="163"/>
      <c r="Q1644" s="163"/>
      <c r="R1644" s="163"/>
    </row>
    <row r="1645" spans="13:18" ht="15" customHeight="1" x14ac:dyDescent="1">
      <c r="M1645" s="164"/>
      <c r="N1645" s="164"/>
      <c r="O1645" s="164"/>
      <c r="P1645" s="164"/>
      <c r="Q1645" s="164"/>
      <c r="R1645" s="164"/>
    </row>
    <row r="1646" spans="13:18" ht="15" customHeight="1" x14ac:dyDescent="1">
      <c r="M1646" s="164"/>
      <c r="N1646" s="164"/>
      <c r="O1646" s="164"/>
      <c r="P1646" s="164"/>
      <c r="Q1646" s="164"/>
      <c r="R1646" s="164"/>
    </row>
    <row r="1647" spans="13:18" ht="15" customHeight="1" x14ac:dyDescent="1">
      <c r="M1647" s="164"/>
      <c r="N1647" s="164"/>
      <c r="O1647" s="164"/>
      <c r="P1647" s="164"/>
      <c r="Q1647" s="164"/>
      <c r="R1647" s="164"/>
    </row>
    <row r="1648" spans="13:18" ht="15" customHeight="1" x14ac:dyDescent="1">
      <c r="M1648" s="164"/>
      <c r="N1648" s="164"/>
      <c r="O1648" s="164"/>
      <c r="P1648" s="164"/>
      <c r="Q1648" s="164"/>
      <c r="R1648" s="164"/>
    </row>
    <row r="1649" spans="13:18" ht="15" customHeight="1" x14ac:dyDescent="1">
      <c r="M1649" s="164"/>
      <c r="N1649" s="164"/>
      <c r="O1649" s="164"/>
      <c r="P1649" s="164"/>
      <c r="Q1649" s="164"/>
      <c r="R1649" s="164"/>
    </row>
    <row r="1650" spans="13:18" ht="15" customHeight="1" x14ac:dyDescent="1">
      <c r="M1650" s="164"/>
      <c r="N1650" s="164"/>
      <c r="O1650" s="164"/>
      <c r="P1650" s="164"/>
      <c r="Q1650" s="164"/>
      <c r="R1650" s="164"/>
    </row>
    <row r="1651" spans="13:18" ht="15" customHeight="1" x14ac:dyDescent="1">
      <c r="M1651" s="164"/>
      <c r="N1651" s="164"/>
      <c r="O1651" s="164"/>
      <c r="P1651" s="164"/>
      <c r="Q1651" s="164"/>
      <c r="R1651" s="164"/>
    </row>
    <row r="1652" spans="13:18" ht="15" customHeight="1" x14ac:dyDescent="1">
      <c r="M1652" s="164"/>
      <c r="N1652" s="164"/>
      <c r="O1652" s="164"/>
      <c r="P1652" s="164"/>
      <c r="Q1652" s="164"/>
      <c r="R1652" s="164"/>
    </row>
    <row r="1653" spans="13:18" ht="15" customHeight="1" x14ac:dyDescent="1">
      <c r="M1653" s="164"/>
      <c r="N1653" s="164"/>
      <c r="O1653" s="164"/>
      <c r="P1653" s="164"/>
      <c r="Q1653" s="164"/>
      <c r="R1653" s="164"/>
    </row>
    <row r="1655" spans="13:18" ht="15" customHeight="1" x14ac:dyDescent="1">
      <c r="M1655" s="162"/>
      <c r="N1655" s="162"/>
    </row>
    <row r="1656" spans="13:18" ht="15" customHeight="1" x14ac:dyDescent="1">
      <c r="M1656" s="163"/>
      <c r="N1656" s="163"/>
      <c r="O1656" s="163"/>
      <c r="P1656" s="163"/>
      <c r="Q1656" s="163"/>
      <c r="R1656" s="163"/>
    </row>
    <row r="1657" spans="13:18" ht="15" customHeight="1" x14ac:dyDescent="1">
      <c r="M1657" s="164"/>
      <c r="N1657" s="164"/>
      <c r="O1657" s="164"/>
      <c r="P1657" s="164"/>
      <c r="Q1657" s="164"/>
      <c r="R1657" s="164"/>
    </row>
    <row r="1658" spans="13:18" ht="15" customHeight="1" x14ac:dyDescent="1">
      <c r="M1658" s="164"/>
      <c r="N1658" s="164"/>
      <c r="O1658" s="164"/>
      <c r="P1658" s="164"/>
      <c r="Q1658" s="164"/>
      <c r="R1658" s="164"/>
    </row>
    <row r="1659" spans="13:18" ht="15" customHeight="1" x14ac:dyDescent="1">
      <c r="M1659" s="164"/>
      <c r="N1659" s="164"/>
      <c r="O1659" s="164"/>
      <c r="P1659" s="164"/>
      <c r="Q1659" s="164"/>
      <c r="R1659" s="164"/>
    </row>
    <row r="1660" spans="13:18" ht="15" customHeight="1" x14ac:dyDescent="1">
      <c r="M1660" s="164"/>
      <c r="N1660" s="164"/>
      <c r="O1660" s="164"/>
      <c r="P1660" s="164"/>
      <c r="Q1660" s="164"/>
      <c r="R1660" s="164"/>
    </row>
    <row r="1661" spans="13:18" ht="15" customHeight="1" x14ac:dyDescent="1">
      <c r="M1661" s="164"/>
      <c r="N1661" s="164"/>
      <c r="O1661" s="164"/>
      <c r="P1661" s="164"/>
      <c r="Q1661" s="164"/>
      <c r="R1661" s="164"/>
    </row>
    <row r="1662" spans="13:18" ht="15" customHeight="1" x14ac:dyDescent="1">
      <c r="M1662" s="164"/>
      <c r="N1662" s="164"/>
      <c r="O1662" s="164"/>
      <c r="P1662" s="164"/>
      <c r="Q1662" s="164"/>
      <c r="R1662" s="164"/>
    </row>
    <row r="1663" spans="13:18" ht="15" customHeight="1" x14ac:dyDescent="1">
      <c r="M1663" s="164"/>
      <c r="N1663" s="164"/>
      <c r="O1663" s="164"/>
      <c r="P1663" s="164"/>
      <c r="Q1663" s="164"/>
      <c r="R1663" s="164"/>
    </row>
    <row r="1664" spans="13:18" ht="15" customHeight="1" x14ac:dyDescent="1">
      <c r="M1664" s="164"/>
      <c r="N1664" s="164"/>
      <c r="O1664" s="164"/>
      <c r="P1664" s="164"/>
      <c r="Q1664" s="164"/>
      <c r="R1664" s="164"/>
    </row>
    <row r="1665" spans="13:18" ht="15" customHeight="1" x14ac:dyDescent="1">
      <c r="M1665" s="164"/>
      <c r="N1665" s="164"/>
      <c r="O1665" s="164"/>
      <c r="P1665" s="164"/>
      <c r="Q1665" s="164"/>
      <c r="R1665" s="164"/>
    </row>
    <row r="1666" spans="13:18" ht="15" customHeight="1" x14ac:dyDescent="1">
      <c r="M1666" s="164"/>
      <c r="N1666" s="164"/>
      <c r="O1666" s="164"/>
      <c r="P1666" s="164"/>
      <c r="Q1666" s="164"/>
      <c r="R1666" s="164"/>
    </row>
    <row r="1667" spans="13:18" ht="15" customHeight="1" x14ac:dyDescent="1">
      <c r="M1667" s="164"/>
      <c r="N1667" s="164"/>
      <c r="O1667" s="164"/>
      <c r="P1667" s="164"/>
      <c r="Q1667" s="164"/>
      <c r="R1667" s="164"/>
    </row>
    <row r="1668" spans="13:18" ht="15" customHeight="1" x14ac:dyDescent="1">
      <c r="M1668" s="164"/>
      <c r="N1668" s="164"/>
      <c r="O1668" s="164"/>
      <c r="P1668" s="164"/>
      <c r="Q1668" s="164"/>
      <c r="R1668" s="164"/>
    </row>
    <row r="1669" spans="13:18" ht="15" customHeight="1" x14ac:dyDescent="1">
      <c r="M1669" s="164"/>
      <c r="N1669" s="164"/>
      <c r="O1669" s="164"/>
      <c r="P1669" s="164"/>
      <c r="Q1669" s="164"/>
      <c r="R1669" s="164"/>
    </row>
    <row r="1670" spans="13:18" ht="15" customHeight="1" x14ac:dyDescent="1">
      <c r="M1670" s="164"/>
      <c r="N1670" s="164"/>
      <c r="O1670" s="164"/>
      <c r="P1670" s="164"/>
      <c r="Q1670" s="164"/>
      <c r="R1670" s="164"/>
    </row>
    <row r="1671" spans="13:18" ht="15" customHeight="1" x14ac:dyDescent="1">
      <c r="M1671" s="164"/>
      <c r="N1671" s="164"/>
      <c r="O1671" s="164"/>
      <c r="P1671" s="164"/>
      <c r="Q1671" s="164"/>
      <c r="R1671" s="164"/>
    </row>
    <row r="1673" spans="13:18" ht="15" customHeight="1" x14ac:dyDescent="1">
      <c r="M1673" s="162"/>
      <c r="N1673" s="162"/>
    </row>
    <row r="1674" spans="13:18" ht="15" customHeight="1" x14ac:dyDescent="1">
      <c r="M1674" s="163"/>
      <c r="N1674" s="163"/>
      <c r="O1674" s="163"/>
      <c r="P1674" s="163"/>
      <c r="Q1674" s="163"/>
      <c r="R1674" s="163"/>
    </row>
    <row r="1675" spans="13:18" ht="15" customHeight="1" x14ac:dyDescent="1">
      <c r="M1675" s="164"/>
      <c r="N1675" s="164"/>
      <c r="O1675" s="164"/>
      <c r="P1675" s="164"/>
      <c r="Q1675" s="164"/>
      <c r="R1675" s="164"/>
    </row>
    <row r="1676" spans="13:18" ht="15" customHeight="1" x14ac:dyDescent="1">
      <c r="M1676" s="164"/>
      <c r="N1676" s="164"/>
      <c r="O1676" s="164"/>
      <c r="P1676" s="164"/>
      <c r="Q1676" s="164"/>
      <c r="R1676" s="164"/>
    </row>
    <row r="1677" spans="13:18" ht="15" customHeight="1" x14ac:dyDescent="1">
      <c r="M1677" s="164"/>
      <c r="N1677" s="164"/>
      <c r="O1677" s="164"/>
      <c r="P1677" s="164"/>
      <c r="Q1677" s="164"/>
      <c r="R1677" s="164"/>
    </row>
    <row r="1678" spans="13:18" ht="15" customHeight="1" x14ac:dyDescent="1">
      <c r="M1678" s="164"/>
      <c r="N1678" s="164"/>
      <c r="O1678" s="164"/>
      <c r="P1678" s="164"/>
      <c r="Q1678" s="164"/>
      <c r="R1678" s="164"/>
    </row>
    <row r="1679" spans="13:18" ht="15" customHeight="1" x14ac:dyDescent="1">
      <c r="M1679" s="164"/>
      <c r="N1679" s="164"/>
      <c r="O1679" s="164"/>
      <c r="P1679" s="164"/>
      <c r="Q1679" s="164"/>
      <c r="R1679" s="164"/>
    </row>
    <row r="1680" spans="13:18" ht="15" customHeight="1" x14ac:dyDescent="1">
      <c r="M1680" s="164"/>
      <c r="N1680" s="164"/>
      <c r="O1680" s="164"/>
      <c r="P1680" s="164"/>
      <c r="Q1680" s="164"/>
      <c r="R1680" s="164"/>
    </row>
    <row r="1681" spans="13:18" ht="15" customHeight="1" x14ac:dyDescent="1">
      <c r="M1681" s="164"/>
      <c r="N1681" s="164"/>
      <c r="O1681" s="164"/>
      <c r="P1681" s="164"/>
      <c r="Q1681" s="164"/>
      <c r="R1681" s="164"/>
    </row>
    <row r="1682" spans="13:18" ht="15" customHeight="1" x14ac:dyDescent="1">
      <c r="M1682" s="164"/>
      <c r="N1682" s="164"/>
      <c r="O1682" s="164"/>
      <c r="P1682" s="164"/>
      <c r="Q1682" s="164"/>
      <c r="R1682" s="164"/>
    </row>
    <row r="1683" spans="13:18" ht="15" customHeight="1" x14ac:dyDescent="1">
      <c r="M1683" s="164"/>
      <c r="N1683" s="164"/>
      <c r="O1683" s="164"/>
      <c r="P1683" s="164"/>
      <c r="Q1683" s="164"/>
      <c r="R1683" s="164"/>
    </row>
    <row r="1684" spans="13:18" ht="15" customHeight="1" x14ac:dyDescent="1">
      <c r="M1684" s="164"/>
      <c r="N1684" s="164"/>
      <c r="O1684" s="164"/>
      <c r="P1684" s="164"/>
      <c r="Q1684" s="164"/>
      <c r="R1684" s="164"/>
    </row>
    <row r="1685" spans="13:18" ht="15" customHeight="1" x14ac:dyDescent="1">
      <c r="M1685" s="164"/>
      <c r="N1685" s="164"/>
      <c r="O1685" s="164"/>
      <c r="P1685" s="164"/>
      <c r="Q1685" s="164"/>
      <c r="R1685" s="164"/>
    </row>
    <row r="1686" spans="13:18" ht="15" customHeight="1" x14ac:dyDescent="1">
      <c r="M1686" s="164"/>
      <c r="N1686" s="164"/>
      <c r="O1686" s="164"/>
      <c r="P1686" s="164"/>
      <c r="Q1686" s="164"/>
      <c r="R1686" s="164"/>
    </row>
    <row r="1687" spans="13:18" ht="15" customHeight="1" x14ac:dyDescent="1">
      <c r="M1687" s="164"/>
      <c r="N1687" s="164"/>
      <c r="O1687" s="164"/>
      <c r="P1687" s="164"/>
      <c r="Q1687" s="164"/>
      <c r="R1687" s="164"/>
    </row>
    <row r="1688" spans="13:18" ht="15" customHeight="1" x14ac:dyDescent="1">
      <c r="M1688" s="164"/>
      <c r="N1688" s="164"/>
      <c r="O1688" s="164"/>
      <c r="P1688" s="164"/>
      <c r="Q1688" s="164"/>
      <c r="R1688" s="164"/>
    </row>
    <row r="1689" spans="13:18" ht="15" customHeight="1" x14ac:dyDescent="1">
      <c r="M1689" s="164"/>
      <c r="N1689" s="164"/>
      <c r="O1689" s="164"/>
      <c r="P1689" s="164"/>
      <c r="Q1689" s="164"/>
      <c r="R1689" s="164"/>
    </row>
    <row r="1690" spans="13:18" ht="15" customHeight="1" x14ac:dyDescent="1">
      <c r="M1690" s="164"/>
      <c r="N1690" s="164"/>
      <c r="O1690" s="164"/>
      <c r="P1690" s="164"/>
      <c r="Q1690" s="164"/>
      <c r="R1690" s="164"/>
    </row>
    <row r="1691" spans="13:18" ht="15" customHeight="1" x14ac:dyDescent="1">
      <c r="M1691" s="164"/>
      <c r="N1691" s="164"/>
      <c r="O1691" s="164"/>
      <c r="P1691" s="164"/>
      <c r="Q1691" s="164"/>
      <c r="R1691" s="164"/>
    </row>
    <row r="1692" spans="13:18" ht="15" customHeight="1" x14ac:dyDescent="1">
      <c r="M1692" s="164"/>
      <c r="N1692" s="164"/>
      <c r="O1692" s="164"/>
      <c r="P1692" s="164"/>
      <c r="Q1692" s="164"/>
      <c r="R1692" s="164"/>
    </row>
    <row r="1693" spans="13:18" ht="15" customHeight="1" x14ac:dyDescent="1">
      <c r="M1693" s="164"/>
      <c r="N1693" s="164"/>
      <c r="O1693" s="164"/>
      <c r="P1693" s="164"/>
      <c r="Q1693" s="164"/>
      <c r="R1693" s="164"/>
    </row>
    <row r="1694" spans="13:18" ht="15" customHeight="1" x14ac:dyDescent="1">
      <c r="M1694" s="164"/>
      <c r="N1694" s="164"/>
      <c r="O1694" s="164"/>
      <c r="P1694" s="164"/>
      <c r="Q1694" s="164"/>
      <c r="R1694" s="164"/>
    </row>
    <row r="1695" spans="13:18" ht="15" customHeight="1" x14ac:dyDescent="1">
      <c r="M1695" s="164"/>
      <c r="N1695" s="164"/>
      <c r="O1695" s="164"/>
      <c r="P1695" s="164"/>
      <c r="Q1695" s="164"/>
      <c r="R1695" s="164"/>
    </row>
    <row r="1696" spans="13:18" ht="15" customHeight="1" x14ac:dyDescent="1">
      <c r="M1696" s="164"/>
      <c r="N1696" s="164"/>
      <c r="O1696" s="164"/>
      <c r="P1696" s="164"/>
      <c r="Q1696" s="164"/>
      <c r="R1696" s="164"/>
    </row>
    <row r="1697" spans="13:18" ht="15" customHeight="1" x14ac:dyDescent="1">
      <c r="M1697" s="164"/>
      <c r="N1697" s="164"/>
      <c r="O1697" s="164"/>
      <c r="P1697" s="164"/>
      <c r="Q1697" s="164"/>
      <c r="R1697" s="164"/>
    </row>
    <row r="1698" spans="13:18" ht="15" customHeight="1" x14ac:dyDescent="1">
      <c r="M1698" s="164"/>
      <c r="N1698" s="164"/>
      <c r="O1698" s="164"/>
      <c r="P1698" s="164"/>
      <c r="Q1698" s="164"/>
      <c r="R1698" s="164"/>
    </row>
    <row r="1699" spans="13:18" ht="15" customHeight="1" x14ac:dyDescent="1">
      <c r="M1699" s="164"/>
      <c r="N1699" s="164"/>
      <c r="O1699" s="164"/>
      <c r="P1699" s="164"/>
      <c r="Q1699" s="164"/>
      <c r="R1699" s="164"/>
    </row>
    <row r="1701" spans="13:18" ht="15" customHeight="1" x14ac:dyDescent="1">
      <c r="M1701" s="162"/>
      <c r="N1701" s="162"/>
    </row>
    <row r="1702" spans="13:18" ht="15" customHeight="1" x14ac:dyDescent="1">
      <c r="M1702" s="163"/>
      <c r="N1702" s="163"/>
      <c r="O1702" s="163"/>
      <c r="P1702" s="163"/>
      <c r="Q1702" s="163"/>
      <c r="R1702" s="163"/>
    </row>
    <row r="1703" spans="13:18" ht="15" customHeight="1" x14ac:dyDescent="1">
      <c r="M1703" s="164"/>
      <c r="N1703" s="164"/>
      <c r="O1703" s="164"/>
      <c r="P1703" s="164"/>
      <c r="Q1703" s="164"/>
      <c r="R1703" s="164"/>
    </row>
    <row r="1704" spans="13:18" ht="15" customHeight="1" x14ac:dyDescent="1">
      <c r="M1704" s="164"/>
      <c r="N1704" s="164"/>
      <c r="O1704" s="164"/>
      <c r="P1704" s="164"/>
      <c r="Q1704" s="164"/>
      <c r="R1704" s="164"/>
    </row>
    <row r="1705" spans="13:18" ht="15" customHeight="1" x14ac:dyDescent="1">
      <c r="M1705" s="164"/>
      <c r="N1705" s="164"/>
      <c r="O1705" s="164"/>
      <c r="P1705" s="164"/>
      <c r="Q1705" s="164"/>
      <c r="R1705" s="164"/>
    </row>
    <row r="1706" spans="13:18" ht="15" customHeight="1" x14ac:dyDescent="1">
      <c r="M1706" s="164"/>
      <c r="N1706" s="164"/>
      <c r="O1706" s="164"/>
      <c r="P1706" s="164"/>
      <c r="Q1706" s="164"/>
      <c r="R1706" s="164"/>
    </row>
    <row r="1707" spans="13:18" ht="15" customHeight="1" x14ac:dyDescent="1">
      <c r="M1707" s="164"/>
      <c r="N1707" s="164"/>
      <c r="O1707" s="164"/>
      <c r="P1707" s="164"/>
      <c r="Q1707" s="164"/>
      <c r="R1707" s="164"/>
    </row>
    <row r="1708" spans="13:18" ht="15" customHeight="1" x14ac:dyDescent="1">
      <c r="M1708" s="164"/>
      <c r="N1708" s="164"/>
      <c r="O1708" s="164"/>
      <c r="P1708" s="164"/>
      <c r="Q1708" s="164"/>
      <c r="R1708" s="164"/>
    </row>
    <row r="1709" spans="13:18" ht="15" customHeight="1" x14ac:dyDescent="1">
      <c r="M1709" s="164"/>
      <c r="N1709" s="164"/>
      <c r="O1709" s="164"/>
      <c r="P1709" s="164"/>
      <c r="Q1709" s="164"/>
      <c r="R1709" s="164"/>
    </row>
    <row r="1710" spans="13:18" ht="15" customHeight="1" x14ac:dyDescent="1">
      <c r="M1710" s="164"/>
      <c r="N1710" s="164"/>
      <c r="O1710" s="164"/>
      <c r="P1710" s="164"/>
      <c r="Q1710" s="164"/>
      <c r="R1710" s="164"/>
    </row>
    <row r="1711" spans="13:18" ht="15" customHeight="1" x14ac:dyDescent="1">
      <c r="M1711" s="164"/>
      <c r="N1711" s="164"/>
      <c r="O1711" s="164"/>
      <c r="P1711" s="164"/>
      <c r="Q1711" s="164"/>
      <c r="R1711" s="164"/>
    </row>
    <row r="1712" spans="13:18" ht="15" customHeight="1" x14ac:dyDescent="1">
      <c r="M1712" s="164"/>
      <c r="N1712" s="164"/>
      <c r="O1712" s="164"/>
      <c r="P1712" s="164"/>
      <c r="Q1712" s="164"/>
      <c r="R1712" s="164"/>
    </row>
    <row r="1713" spans="13:18" ht="15" customHeight="1" x14ac:dyDescent="1">
      <c r="M1713" s="164"/>
      <c r="N1713" s="164"/>
      <c r="O1713" s="164"/>
      <c r="P1713" s="164"/>
      <c r="Q1713" s="164"/>
      <c r="R1713" s="164"/>
    </row>
    <row r="1714" spans="13:18" ht="15" customHeight="1" x14ac:dyDescent="1">
      <c r="M1714" s="164"/>
      <c r="N1714" s="164"/>
      <c r="O1714" s="164"/>
      <c r="P1714" s="164"/>
      <c r="Q1714" s="164"/>
      <c r="R1714" s="164"/>
    </row>
    <row r="1715" spans="13:18" ht="15" customHeight="1" x14ac:dyDescent="1">
      <c r="M1715" s="164"/>
      <c r="N1715" s="164"/>
      <c r="O1715" s="164"/>
      <c r="P1715" s="164"/>
      <c r="Q1715" s="164"/>
      <c r="R1715" s="164"/>
    </row>
    <row r="1717" spans="13:18" ht="15" customHeight="1" x14ac:dyDescent="1">
      <c r="M1717" s="162"/>
      <c r="N1717" s="162"/>
    </row>
    <row r="1718" spans="13:18" ht="15" customHeight="1" x14ac:dyDescent="1">
      <c r="M1718" s="163"/>
      <c r="N1718" s="163"/>
      <c r="O1718" s="163"/>
      <c r="P1718" s="163"/>
      <c r="Q1718" s="163"/>
      <c r="R1718" s="163"/>
    </row>
    <row r="1719" spans="13:18" ht="15" customHeight="1" x14ac:dyDescent="1">
      <c r="M1719" s="164"/>
      <c r="N1719" s="164"/>
      <c r="O1719" s="164"/>
      <c r="P1719" s="164"/>
      <c r="Q1719" s="164"/>
      <c r="R1719" s="164"/>
    </row>
    <row r="1720" spans="13:18" ht="15" customHeight="1" x14ac:dyDescent="1">
      <c r="M1720" s="164"/>
      <c r="N1720" s="164"/>
      <c r="O1720" s="164"/>
      <c r="P1720" s="164"/>
      <c r="Q1720" s="164"/>
      <c r="R1720" s="164"/>
    </row>
    <row r="1721" spans="13:18" ht="15" customHeight="1" x14ac:dyDescent="1">
      <c r="M1721" s="164"/>
      <c r="N1721" s="164"/>
      <c r="O1721" s="164"/>
      <c r="P1721" s="164"/>
      <c r="Q1721" s="164"/>
      <c r="R1721" s="164"/>
    </row>
    <row r="1722" spans="13:18" ht="15" customHeight="1" x14ac:dyDescent="1">
      <c r="M1722" s="164"/>
      <c r="N1722" s="164"/>
      <c r="O1722" s="164"/>
      <c r="P1722" s="164"/>
      <c r="Q1722" s="164"/>
      <c r="R1722" s="164"/>
    </row>
    <row r="1723" spans="13:18" ht="15" customHeight="1" x14ac:dyDescent="1">
      <c r="M1723" s="164"/>
      <c r="N1723" s="164"/>
      <c r="O1723" s="164"/>
      <c r="P1723" s="164"/>
      <c r="Q1723" s="164"/>
      <c r="R1723" s="164"/>
    </row>
    <row r="1724" spans="13:18" ht="15" customHeight="1" x14ac:dyDescent="1">
      <c r="M1724" s="164"/>
      <c r="N1724" s="164"/>
      <c r="O1724" s="164"/>
      <c r="P1724" s="164"/>
      <c r="Q1724" s="164"/>
      <c r="R1724" s="164"/>
    </row>
    <row r="1725" spans="13:18" ht="15" customHeight="1" x14ac:dyDescent="1">
      <c r="M1725" s="164"/>
      <c r="N1725" s="164"/>
      <c r="O1725" s="164"/>
      <c r="P1725" s="164"/>
      <c r="Q1725" s="164"/>
      <c r="R1725" s="164"/>
    </row>
    <row r="1726" spans="13:18" ht="15" customHeight="1" x14ac:dyDescent="1">
      <c r="M1726" s="164"/>
      <c r="N1726" s="164"/>
      <c r="O1726" s="164"/>
      <c r="P1726" s="164"/>
      <c r="Q1726" s="164"/>
      <c r="R1726" s="164"/>
    </row>
    <row r="1727" spans="13:18" ht="15" customHeight="1" x14ac:dyDescent="1">
      <c r="M1727" s="164"/>
      <c r="N1727" s="164"/>
      <c r="O1727" s="164"/>
      <c r="P1727" s="164"/>
      <c r="Q1727" s="164"/>
      <c r="R1727" s="164"/>
    </row>
    <row r="1728" spans="13:18" ht="15" customHeight="1" x14ac:dyDescent="1">
      <c r="M1728" s="164"/>
      <c r="N1728" s="164"/>
      <c r="O1728" s="164"/>
      <c r="P1728" s="164"/>
      <c r="Q1728" s="164"/>
      <c r="R1728" s="164"/>
    </row>
    <row r="1729" spans="13:18" ht="15" customHeight="1" x14ac:dyDescent="1">
      <c r="M1729" s="164"/>
      <c r="N1729" s="164"/>
      <c r="O1729" s="164"/>
      <c r="P1729" s="164"/>
      <c r="Q1729" s="164"/>
      <c r="R1729" s="164"/>
    </row>
    <row r="1730" spans="13:18" ht="15" customHeight="1" x14ac:dyDescent="1">
      <c r="M1730" s="164"/>
      <c r="N1730" s="164"/>
      <c r="O1730" s="164"/>
      <c r="P1730" s="164"/>
      <c r="Q1730" s="164"/>
      <c r="R1730" s="164"/>
    </row>
    <row r="1731" spans="13:18" ht="15" customHeight="1" x14ac:dyDescent="1">
      <c r="M1731" s="164"/>
      <c r="N1731" s="164"/>
      <c r="O1731" s="164"/>
      <c r="P1731" s="164"/>
      <c r="Q1731" s="164"/>
      <c r="R1731" s="164"/>
    </row>
    <row r="1732" spans="13:18" ht="15" customHeight="1" x14ac:dyDescent="1">
      <c r="M1732" s="164"/>
      <c r="N1732" s="164"/>
      <c r="O1732" s="164"/>
      <c r="P1732" s="164"/>
      <c r="Q1732" s="164"/>
      <c r="R1732" s="164"/>
    </row>
    <row r="1733" spans="13:18" ht="15" customHeight="1" x14ac:dyDescent="1">
      <c r="M1733" s="164"/>
      <c r="N1733" s="164"/>
      <c r="O1733" s="164"/>
      <c r="P1733" s="164"/>
      <c r="Q1733" s="164"/>
      <c r="R1733" s="164"/>
    </row>
    <row r="1734" spans="13:18" ht="15" customHeight="1" x14ac:dyDescent="1">
      <c r="M1734" s="164"/>
      <c r="N1734" s="164"/>
      <c r="O1734" s="164"/>
      <c r="P1734" s="164"/>
      <c r="Q1734" s="164"/>
      <c r="R1734" s="164"/>
    </row>
    <row r="1735" spans="13:18" ht="15" customHeight="1" x14ac:dyDescent="1">
      <c r="M1735" s="164"/>
      <c r="N1735" s="164"/>
      <c r="O1735" s="164"/>
      <c r="P1735" s="164"/>
      <c r="Q1735" s="164"/>
      <c r="R1735" s="164"/>
    </row>
    <row r="1736" spans="13:18" ht="15" customHeight="1" x14ac:dyDescent="1">
      <c r="M1736" s="164"/>
      <c r="N1736" s="164"/>
      <c r="O1736" s="164"/>
      <c r="P1736" s="164"/>
      <c r="Q1736" s="164"/>
      <c r="R1736" s="164"/>
    </row>
    <row r="1737" spans="13:18" ht="15" customHeight="1" x14ac:dyDescent="1">
      <c r="M1737" s="164"/>
      <c r="N1737" s="164"/>
      <c r="O1737" s="164"/>
      <c r="P1737" s="164"/>
      <c r="Q1737" s="164"/>
      <c r="R1737" s="164"/>
    </row>
    <row r="1738" spans="13:18" ht="15" customHeight="1" x14ac:dyDescent="1">
      <c r="M1738" s="164"/>
      <c r="N1738" s="164"/>
      <c r="O1738" s="164"/>
      <c r="P1738" s="164"/>
      <c r="Q1738" s="164"/>
      <c r="R1738" s="164"/>
    </row>
    <row r="1739" spans="13:18" ht="15" customHeight="1" x14ac:dyDescent="1">
      <c r="M1739" s="164"/>
      <c r="N1739" s="164"/>
      <c r="O1739" s="164"/>
      <c r="P1739" s="164"/>
      <c r="Q1739" s="164"/>
      <c r="R1739" s="164"/>
    </row>
    <row r="1740" spans="13:18" ht="15" customHeight="1" x14ac:dyDescent="1">
      <c r="M1740" s="164"/>
      <c r="N1740" s="164"/>
      <c r="O1740" s="164"/>
      <c r="P1740" s="164"/>
      <c r="Q1740" s="164"/>
      <c r="R1740" s="164"/>
    </row>
    <row r="1741" spans="13:18" ht="15" customHeight="1" x14ac:dyDescent="1">
      <c r="M1741" s="164"/>
      <c r="N1741" s="164"/>
      <c r="O1741" s="164"/>
      <c r="P1741" s="164"/>
      <c r="Q1741" s="164"/>
      <c r="R1741" s="164"/>
    </row>
    <row r="1742" spans="13:18" ht="15" customHeight="1" x14ac:dyDescent="1">
      <c r="M1742" s="164"/>
      <c r="N1742" s="164"/>
      <c r="O1742" s="164"/>
      <c r="P1742" s="164"/>
      <c r="Q1742" s="164"/>
      <c r="R1742" s="164"/>
    </row>
    <row r="1743" spans="13:18" ht="15" customHeight="1" x14ac:dyDescent="1">
      <c r="M1743" s="164"/>
      <c r="N1743" s="164"/>
      <c r="O1743" s="164"/>
      <c r="P1743" s="164"/>
      <c r="Q1743" s="164"/>
      <c r="R1743" s="164"/>
    </row>
    <row r="1744" spans="13:18" ht="15" customHeight="1" x14ac:dyDescent="1">
      <c r="M1744" s="164"/>
      <c r="N1744" s="164"/>
      <c r="O1744" s="164"/>
      <c r="P1744" s="164"/>
      <c r="Q1744" s="164"/>
      <c r="R1744" s="164"/>
    </row>
    <row r="1745" spans="13:18" ht="15" customHeight="1" x14ac:dyDescent="1">
      <c r="M1745" s="164"/>
      <c r="N1745" s="164"/>
      <c r="O1745" s="164"/>
      <c r="P1745" s="164"/>
      <c r="Q1745" s="164"/>
      <c r="R1745" s="164"/>
    </row>
    <row r="1746" spans="13:18" ht="15" customHeight="1" x14ac:dyDescent="1">
      <c r="M1746" s="164"/>
      <c r="N1746" s="164"/>
      <c r="O1746" s="164"/>
      <c r="P1746" s="164"/>
      <c r="Q1746" s="164"/>
      <c r="R1746" s="164"/>
    </row>
    <row r="1747" spans="13:18" ht="15" customHeight="1" x14ac:dyDescent="1">
      <c r="M1747" s="164"/>
      <c r="N1747" s="164"/>
      <c r="O1747" s="164"/>
      <c r="P1747" s="164"/>
      <c r="Q1747" s="164"/>
      <c r="R1747" s="164"/>
    </row>
    <row r="1748" spans="13:18" ht="15" customHeight="1" x14ac:dyDescent="1">
      <c r="M1748" s="164"/>
      <c r="N1748" s="164"/>
      <c r="O1748" s="164"/>
      <c r="P1748" s="164"/>
      <c r="Q1748" s="164"/>
      <c r="R1748" s="164"/>
    </row>
    <row r="1749" spans="13:18" ht="15" customHeight="1" x14ac:dyDescent="1">
      <c r="M1749" s="164"/>
      <c r="N1749" s="164"/>
      <c r="O1749" s="164"/>
      <c r="P1749" s="164"/>
      <c r="Q1749" s="164"/>
      <c r="R1749" s="164"/>
    </row>
    <row r="1750" spans="13:18" ht="15" customHeight="1" x14ac:dyDescent="1">
      <c r="M1750" s="164"/>
      <c r="N1750" s="164"/>
      <c r="O1750" s="164"/>
      <c r="P1750" s="164"/>
      <c r="Q1750" s="164"/>
      <c r="R1750" s="164"/>
    </row>
    <row r="1751" spans="13:18" ht="15" customHeight="1" x14ac:dyDescent="1">
      <c r="M1751" s="164"/>
      <c r="N1751" s="164"/>
      <c r="O1751" s="164"/>
      <c r="P1751" s="164"/>
      <c r="Q1751" s="164"/>
      <c r="R1751" s="164"/>
    </row>
    <row r="1752" spans="13:18" ht="15" customHeight="1" x14ac:dyDescent="1">
      <c r="M1752" s="164"/>
      <c r="N1752" s="164"/>
      <c r="O1752" s="164"/>
      <c r="P1752" s="164"/>
      <c r="Q1752" s="164"/>
      <c r="R1752" s="164"/>
    </row>
    <row r="1753" spans="13:18" ht="15" customHeight="1" x14ac:dyDescent="1">
      <c r="M1753" s="164"/>
      <c r="N1753" s="164"/>
      <c r="O1753" s="164"/>
      <c r="P1753" s="164"/>
      <c r="Q1753" s="164"/>
      <c r="R1753" s="164"/>
    </row>
    <row r="1754" spans="13:18" ht="15" customHeight="1" x14ac:dyDescent="1">
      <c r="M1754" s="164"/>
      <c r="N1754" s="164"/>
      <c r="O1754" s="164"/>
      <c r="P1754" s="164"/>
      <c r="Q1754" s="164"/>
      <c r="R1754" s="164"/>
    </row>
    <row r="1755" spans="13:18" ht="15" customHeight="1" x14ac:dyDescent="1">
      <c r="M1755" s="164"/>
      <c r="N1755" s="164"/>
      <c r="O1755" s="164"/>
      <c r="P1755" s="164"/>
      <c r="Q1755" s="164"/>
      <c r="R1755" s="164"/>
    </row>
    <row r="1756" spans="13:18" ht="15" customHeight="1" x14ac:dyDescent="1">
      <c r="M1756" s="164"/>
      <c r="N1756" s="164"/>
      <c r="O1756" s="164"/>
      <c r="P1756" s="164"/>
      <c r="Q1756" s="164"/>
      <c r="R1756" s="164"/>
    </row>
    <row r="1757" spans="13:18" ht="15" customHeight="1" x14ac:dyDescent="1">
      <c r="M1757" s="164"/>
      <c r="N1757" s="164"/>
      <c r="O1757" s="164"/>
      <c r="P1757" s="164"/>
      <c r="Q1757" s="164"/>
      <c r="R1757" s="164"/>
    </row>
    <row r="1758" spans="13:18" ht="15" customHeight="1" x14ac:dyDescent="1">
      <c r="M1758" s="164"/>
      <c r="N1758" s="164"/>
      <c r="O1758" s="164"/>
      <c r="P1758" s="164"/>
      <c r="Q1758" s="164"/>
      <c r="R1758" s="164"/>
    </row>
    <row r="1759" spans="13:18" ht="15" customHeight="1" x14ac:dyDescent="1">
      <c r="M1759" s="164"/>
      <c r="N1759" s="164"/>
      <c r="O1759" s="164"/>
      <c r="P1759" s="164"/>
      <c r="Q1759" s="164"/>
      <c r="R1759" s="164"/>
    </row>
    <row r="1760" spans="13:18" ht="15" customHeight="1" x14ac:dyDescent="1">
      <c r="M1760" s="164"/>
      <c r="N1760" s="164"/>
      <c r="O1760" s="164"/>
      <c r="P1760" s="164"/>
      <c r="Q1760" s="164"/>
      <c r="R1760" s="164"/>
    </row>
    <row r="1761" spans="13:18" ht="15" customHeight="1" x14ac:dyDescent="1">
      <c r="M1761" s="164"/>
      <c r="N1761" s="164"/>
      <c r="O1761" s="164"/>
      <c r="P1761" s="164"/>
      <c r="Q1761" s="164"/>
      <c r="R1761" s="164"/>
    </row>
    <row r="1762" spans="13:18" ht="15" customHeight="1" x14ac:dyDescent="1">
      <c r="M1762" s="164"/>
      <c r="N1762" s="164"/>
      <c r="O1762" s="164"/>
      <c r="P1762" s="164"/>
      <c r="Q1762" s="164"/>
      <c r="R1762" s="164"/>
    </row>
    <row r="1763" spans="13:18" ht="15" customHeight="1" x14ac:dyDescent="1">
      <c r="M1763" s="164"/>
      <c r="N1763" s="164"/>
      <c r="O1763" s="164"/>
      <c r="P1763" s="164"/>
      <c r="Q1763" s="164"/>
      <c r="R1763" s="164"/>
    </row>
    <row r="1764" spans="13:18" ht="15" customHeight="1" x14ac:dyDescent="1">
      <c r="M1764" s="164"/>
      <c r="N1764" s="164"/>
      <c r="O1764" s="164"/>
      <c r="P1764" s="164"/>
      <c r="Q1764" s="164"/>
      <c r="R1764" s="164"/>
    </row>
    <row r="1765" spans="13:18" ht="15" customHeight="1" x14ac:dyDescent="1">
      <c r="M1765" s="164"/>
      <c r="N1765" s="164"/>
      <c r="O1765" s="164"/>
      <c r="P1765" s="164"/>
      <c r="Q1765" s="164"/>
      <c r="R1765" s="164"/>
    </row>
    <row r="1766" spans="13:18" ht="15" customHeight="1" x14ac:dyDescent="1">
      <c r="M1766" s="164"/>
      <c r="N1766" s="164"/>
      <c r="O1766" s="164"/>
      <c r="P1766" s="164"/>
      <c r="Q1766" s="164"/>
      <c r="R1766" s="164"/>
    </row>
    <row r="1767" spans="13:18" ht="15" customHeight="1" x14ac:dyDescent="1">
      <c r="M1767" s="164"/>
      <c r="N1767" s="164"/>
      <c r="O1767" s="164"/>
      <c r="P1767" s="164"/>
      <c r="Q1767" s="164"/>
      <c r="R1767" s="164"/>
    </row>
    <row r="1768" spans="13:18" ht="15" customHeight="1" x14ac:dyDescent="1">
      <c r="M1768" s="164"/>
      <c r="N1768" s="164"/>
      <c r="O1768" s="164"/>
      <c r="P1768" s="164"/>
      <c r="Q1768" s="164"/>
      <c r="R1768" s="164"/>
    </row>
    <row r="1769" spans="13:18" ht="15" customHeight="1" x14ac:dyDescent="1">
      <c r="M1769" s="164"/>
      <c r="N1769" s="164"/>
      <c r="O1769" s="164"/>
      <c r="P1769" s="164"/>
      <c r="Q1769" s="164"/>
      <c r="R1769" s="164"/>
    </row>
    <row r="1770" spans="13:18" ht="15" customHeight="1" x14ac:dyDescent="1">
      <c r="M1770" s="164"/>
      <c r="N1770" s="164"/>
      <c r="O1770" s="164"/>
      <c r="P1770" s="164"/>
      <c r="Q1770" s="164"/>
      <c r="R1770" s="164"/>
    </row>
    <row r="1771" spans="13:18" ht="15" customHeight="1" x14ac:dyDescent="1">
      <c r="M1771" s="164"/>
      <c r="N1771" s="164"/>
      <c r="O1771" s="164"/>
      <c r="P1771" s="164"/>
      <c r="Q1771" s="164"/>
      <c r="R1771" s="164"/>
    </row>
    <row r="1772" spans="13:18" ht="15" customHeight="1" x14ac:dyDescent="1">
      <c r="M1772" s="164"/>
      <c r="N1772" s="164"/>
      <c r="O1772" s="164"/>
      <c r="P1772" s="164"/>
      <c r="Q1772" s="164"/>
      <c r="R1772" s="164"/>
    </row>
    <row r="1773" spans="13:18" ht="15" customHeight="1" x14ac:dyDescent="1">
      <c r="M1773" s="164"/>
      <c r="N1773" s="164"/>
      <c r="O1773" s="164"/>
      <c r="P1773" s="164"/>
      <c r="Q1773" s="164"/>
      <c r="R1773" s="164"/>
    </row>
    <row r="1774" spans="13:18" ht="15" customHeight="1" x14ac:dyDescent="1">
      <c r="M1774" s="164"/>
      <c r="N1774" s="164"/>
      <c r="O1774" s="164"/>
      <c r="P1774" s="164"/>
      <c r="Q1774" s="164"/>
      <c r="R1774" s="164"/>
    </row>
    <row r="1775" spans="13:18" ht="15" customHeight="1" x14ac:dyDescent="1">
      <c r="M1775" s="164"/>
      <c r="N1775" s="164"/>
      <c r="O1775" s="164"/>
      <c r="P1775" s="164"/>
      <c r="Q1775" s="164"/>
      <c r="R1775" s="164"/>
    </row>
    <row r="1776" spans="13:18" ht="15" customHeight="1" x14ac:dyDescent="1">
      <c r="M1776" s="164"/>
      <c r="N1776" s="164"/>
      <c r="O1776" s="164"/>
      <c r="P1776" s="164"/>
      <c r="Q1776" s="164"/>
      <c r="R1776" s="164"/>
    </row>
    <row r="1777" spans="13:18" ht="15" customHeight="1" x14ac:dyDescent="1">
      <c r="M1777" s="164"/>
      <c r="N1777" s="164"/>
      <c r="O1777" s="164"/>
      <c r="P1777" s="164"/>
      <c r="Q1777" s="164"/>
      <c r="R1777" s="164"/>
    </row>
    <row r="1778" spans="13:18" ht="15" customHeight="1" x14ac:dyDescent="1">
      <c r="M1778" s="164"/>
      <c r="N1778" s="164"/>
      <c r="O1778" s="164"/>
      <c r="P1778" s="164"/>
      <c r="Q1778" s="164"/>
      <c r="R1778" s="164"/>
    </row>
    <row r="1779" spans="13:18" ht="15" customHeight="1" x14ac:dyDescent="1">
      <c r="M1779" s="164"/>
      <c r="N1779" s="164"/>
      <c r="O1779" s="164"/>
      <c r="P1779" s="164"/>
      <c r="Q1779" s="164"/>
      <c r="R1779" s="164"/>
    </row>
    <row r="1780" spans="13:18" ht="15" customHeight="1" x14ac:dyDescent="1">
      <c r="M1780" s="164"/>
      <c r="N1780" s="164"/>
      <c r="O1780" s="164"/>
      <c r="P1780" s="164"/>
      <c r="Q1780" s="164"/>
      <c r="R1780" s="164"/>
    </row>
    <row r="1781" spans="13:18" ht="15" customHeight="1" x14ac:dyDescent="1">
      <c r="M1781" s="164"/>
      <c r="N1781" s="164"/>
      <c r="O1781" s="164"/>
      <c r="P1781" s="164"/>
      <c r="Q1781" s="164"/>
      <c r="R1781" s="164"/>
    </row>
    <row r="1782" spans="13:18" ht="15" customHeight="1" x14ac:dyDescent="1">
      <c r="M1782" s="164"/>
      <c r="N1782" s="164"/>
      <c r="O1782" s="164"/>
      <c r="P1782" s="164"/>
      <c r="Q1782" s="164"/>
      <c r="R1782" s="164"/>
    </row>
    <row r="1783" spans="13:18" ht="15" customHeight="1" x14ac:dyDescent="1">
      <c r="M1783" s="164"/>
      <c r="N1783" s="164"/>
      <c r="O1783" s="164"/>
      <c r="P1783" s="164"/>
      <c r="Q1783" s="164"/>
      <c r="R1783" s="164"/>
    </row>
    <row r="1784" spans="13:18" ht="15" customHeight="1" x14ac:dyDescent="1">
      <c r="M1784" s="164"/>
      <c r="N1784" s="164"/>
      <c r="O1784" s="164"/>
      <c r="P1784" s="164"/>
      <c r="Q1784" s="164"/>
      <c r="R1784" s="164"/>
    </row>
    <row r="1785" spans="13:18" ht="15" customHeight="1" x14ac:dyDescent="1">
      <c r="M1785" s="164"/>
      <c r="N1785" s="164"/>
      <c r="O1785" s="164"/>
      <c r="P1785" s="164"/>
      <c r="Q1785" s="164"/>
      <c r="R1785" s="164"/>
    </row>
    <row r="1786" spans="13:18" ht="15" customHeight="1" x14ac:dyDescent="1">
      <c r="M1786" s="164"/>
      <c r="N1786" s="164"/>
      <c r="O1786" s="164"/>
      <c r="P1786" s="164"/>
      <c r="Q1786" s="164"/>
      <c r="R1786" s="164"/>
    </row>
    <row r="1787" spans="13:18" ht="15" customHeight="1" x14ac:dyDescent="1">
      <c r="M1787" s="164"/>
      <c r="N1787" s="164"/>
      <c r="O1787" s="164"/>
      <c r="P1787" s="164"/>
      <c r="Q1787" s="164"/>
      <c r="R1787" s="164"/>
    </row>
    <row r="1788" spans="13:18" ht="15" customHeight="1" x14ac:dyDescent="1">
      <c r="M1788" s="164"/>
      <c r="N1788" s="164"/>
      <c r="O1788" s="164"/>
      <c r="P1788" s="164"/>
      <c r="Q1788" s="164"/>
      <c r="R1788" s="164"/>
    </row>
    <row r="1789" spans="13:18" ht="15" customHeight="1" x14ac:dyDescent="1">
      <c r="M1789" s="164"/>
      <c r="N1789" s="164"/>
      <c r="O1789" s="164"/>
      <c r="P1789" s="164"/>
      <c r="Q1789" s="164"/>
      <c r="R1789" s="164"/>
    </row>
    <row r="1790" spans="13:18" ht="15" customHeight="1" x14ac:dyDescent="1">
      <c r="M1790" s="164"/>
      <c r="N1790" s="164"/>
      <c r="O1790" s="164"/>
      <c r="P1790" s="164"/>
      <c r="Q1790" s="164"/>
      <c r="R1790" s="164"/>
    </row>
    <row r="1791" spans="13:18" ht="15" customHeight="1" x14ac:dyDescent="1">
      <c r="M1791" s="164"/>
      <c r="N1791" s="164"/>
      <c r="O1791" s="164"/>
      <c r="P1791" s="164"/>
      <c r="Q1791" s="164"/>
      <c r="R1791" s="164"/>
    </row>
    <row r="1792" spans="13:18" ht="15" customHeight="1" x14ac:dyDescent="1">
      <c r="M1792" s="164"/>
      <c r="N1792" s="164"/>
      <c r="O1792" s="164"/>
      <c r="P1792" s="164"/>
      <c r="Q1792" s="164"/>
      <c r="R1792" s="164"/>
    </row>
    <row r="1794" spans="13:18" ht="15" customHeight="1" x14ac:dyDescent="1">
      <c r="M1794" s="162"/>
      <c r="N1794" s="162"/>
    </row>
    <row r="1795" spans="13:18" ht="15" customHeight="1" x14ac:dyDescent="1">
      <c r="M1795" s="163"/>
      <c r="N1795" s="163"/>
      <c r="O1795" s="163"/>
      <c r="P1795" s="163"/>
      <c r="Q1795" s="163"/>
      <c r="R1795" s="163"/>
    </row>
    <row r="1796" spans="13:18" ht="15" customHeight="1" x14ac:dyDescent="1">
      <c r="M1796" s="164"/>
      <c r="N1796" s="164"/>
      <c r="O1796" s="164"/>
      <c r="P1796" s="164"/>
      <c r="Q1796" s="164"/>
      <c r="R1796" s="164"/>
    </row>
    <row r="1797" spans="13:18" ht="15" customHeight="1" x14ac:dyDescent="1">
      <c r="M1797" s="164"/>
      <c r="N1797" s="164"/>
      <c r="O1797" s="164"/>
      <c r="P1797" s="164"/>
      <c r="Q1797" s="164"/>
      <c r="R1797" s="164"/>
    </row>
    <row r="1798" spans="13:18" ht="15" customHeight="1" x14ac:dyDescent="1">
      <c r="M1798" s="164"/>
      <c r="N1798" s="164"/>
      <c r="O1798" s="164"/>
      <c r="P1798" s="164"/>
      <c r="Q1798" s="164"/>
      <c r="R1798" s="164"/>
    </row>
    <row r="1799" spans="13:18" ht="15" customHeight="1" x14ac:dyDescent="1">
      <c r="M1799" s="164"/>
      <c r="N1799" s="164"/>
      <c r="O1799" s="164"/>
      <c r="P1799" s="164"/>
      <c r="Q1799" s="164"/>
      <c r="R1799" s="164"/>
    </row>
    <row r="1800" spans="13:18" ht="15" customHeight="1" x14ac:dyDescent="1">
      <c r="M1800" s="164"/>
      <c r="N1800" s="164"/>
      <c r="O1800" s="164"/>
      <c r="P1800" s="164"/>
      <c r="Q1800" s="164"/>
      <c r="R1800" s="164"/>
    </row>
    <row r="1802" spans="13:18" ht="15" customHeight="1" x14ac:dyDescent="1">
      <c r="M1802" s="162"/>
      <c r="N1802" s="162"/>
    </row>
    <row r="1803" spans="13:18" ht="15" customHeight="1" x14ac:dyDescent="1">
      <c r="M1803" s="163"/>
      <c r="N1803" s="163"/>
      <c r="O1803" s="163"/>
      <c r="P1803" s="163"/>
      <c r="Q1803" s="163"/>
      <c r="R1803" s="163"/>
    </row>
    <row r="1804" spans="13:18" ht="15" customHeight="1" x14ac:dyDescent="1">
      <c r="M1804" s="164"/>
      <c r="N1804" s="164"/>
      <c r="O1804" s="164"/>
      <c r="P1804" s="164"/>
      <c r="Q1804" s="164"/>
      <c r="R1804" s="164"/>
    </row>
    <row r="1805" spans="13:18" ht="15" customHeight="1" x14ac:dyDescent="1">
      <c r="M1805" s="164"/>
      <c r="N1805" s="164"/>
      <c r="O1805" s="164"/>
      <c r="P1805" s="164"/>
      <c r="Q1805" s="164"/>
      <c r="R1805" s="164"/>
    </row>
    <row r="1806" spans="13:18" ht="15" customHeight="1" x14ac:dyDescent="1">
      <c r="M1806" s="164"/>
      <c r="N1806" s="164"/>
      <c r="O1806" s="164"/>
      <c r="P1806" s="164"/>
      <c r="Q1806" s="164"/>
      <c r="R1806" s="164"/>
    </row>
    <row r="1807" spans="13:18" ht="15" customHeight="1" x14ac:dyDescent="1">
      <c r="M1807" s="164"/>
      <c r="N1807" s="164"/>
      <c r="O1807" s="164"/>
      <c r="P1807" s="164"/>
      <c r="Q1807" s="164"/>
      <c r="R1807" s="164"/>
    </row>
    <row r="1808" spans="13:18" ht="15" customHeight="1" x14ac:dyDescent="1">
      <c r="M1808" s="164"/>
      <c r="N1808" s="164"/>
      <c r="O1808" s="164"/>
      <c r="P1808" s="164"/>
      <c r="Q1808" s="164"/>
      <c r="R1808" s="164"/>
    </row>
    <row r="1810" spans="13:18" ht="15" customHeight="1" x14ac:dyDescent="1">
      <c r="M1810" s="162"/>
      <c r="N1810" s="162"/>
    </row>
    <row r="1811" spans="13:18" ht="15" customHeight="1" x14ac:dyDescent="1">
      <c r="M1811" s="163"/>
      <c r="N1811" s="163"/>
      <c r="O1811" s="163"/>
      <c r="P1811" s="163"/>
      <c r="Q1811" s="163"/>
      <c r="R1811" s="163"/>
    </row>
    <row r="1812" spans="13:18" ht="15" customHeight="1" x14ac:dyDescent="1">
      <c r="M1812" s="164"/>
      <c r="N1812" s="164"/>
      <c r="O1812" s="164"/>
      <c r="P1812" s="164"/>
      <c r="Q1812" s="164"/>
      <c r="R1812" s="164"/>
    </row>
    <row r="1813" spans="13:18" ht="15" customHeight="1" x14ac:dyDescent="1">
      <c r="M1813" s="164"/>
      <c r="N1813" s="164"/>
      <c r="O1813" s="164"/>
      <c r="P1813" s="164"/>
      <c r="Q1813" s="164"/>
      <c r="R1813" s="164"/>
    </row>
    <row r="1814" spans="13:18" ht="15" customHeight="1" x14ac:dyDescent="1">
      <c r="M1814" s="164"/>
      <c r="N1814" s="164"/>
      <c r="O1814" s="164"/>
      <c r="P1814" s="164"/>
      <c r="Q1814" s="164"/>
      <c r="R1814" s="164"/>
    </row>
    <row r="1815" spans="13:18" ht="15" customHeight="1" x14ac:dyDescent="1">
      <c r="M1815" s="164"/>
      <c r="N1815" s="164"/>
      <c r="O1815" s="164"/>
      <c r="P1815" s="164"/>
      <c r="Q1815" s="164"/>
      <c r="R1815" s="164"/>
    </row>
    <row r="1816" spans="13:18" ht="15" customHeight="1" x14ac:dyDescent="1">
      <c r="M1816" s="164"/>
      <c r="N1816" s="164"/>
      <c r="O1816" s="164"/>
      <c r="P1816" s="164"/>
      <c r="Q1816" s="164"/>
      <c r="R1816" s="164"/>
    </row>
    <row r="1818" spans="13:18" ht="15" customHeight="1" x14ac:dyDescent="1">
      <c r="M1818" s="162"/>
      <c r="N1818" s="162"/>
    </row>
    <row r="1819" spans="13:18" ht="15" customHeight="1" x14ac:dyDescent="1">
      <c r="M1819" s="163"/>
      <c r="N1819" s="163"/>
      <c r="O1819" s="163"/>
      <c r="P1819" s="163"/>
      <c r="Q1819" s="163"/>
      <c r="R1819" s="163"/>
    </row>
    <row r="1820" spans="13:18" ht="15" customHeight="1" x14ac:dyDescent="1">
      <c r="M1820" s="164"/>
      <c r="N1820" s="164"/>
      <c r="O1820" s="164"/>
      <c r="P1820" s="164"/>
      <c r="Q1820" s="164"/>
      <c r="R1820" s="164"/>
    </row>
    <row r="1821" spans="13:18" ht="15" customHeight="1" x14ac:dyDescent="1">
      <c r="M1821" s="164"/>
      <c r="N1821" s="164"/>
      <c r="O1821" s="164"/>
      <c r="P1821" s="164"/>
      <c r="Q1821" s="164"/>
      <c r="R1821" s="164"/>
    </row>
    <row r="1822" spans="13:18" ht="15" customHeight="1" x14ac:dyDescent="1">
      <c r="M1822" s="164"/>
      <c r="N1822" s="164"/>
      <c r="O1822" s="164"/>
      <c r="P1822" s="164"/>
      <c r="Q1822" s="164"/>
      <c r="R1822" s="164"/>
    </row>
    <row r="1823" spans="13:18" ht="15" customHeight="1" x14ac:dyDescent="1">
      <c r="M1823" s="164"/>
      <c r="N1823" s="164"/>
      <c r="O1823" s="164"/>
      <c r="P1823" s="164"/>
      <c r="Q1823" s="164"/>
      <c r="R1823" s="164"/>
    </row>
    <row r="1824" spans="13:18" ht="15" customHeight="1" x14ac:dyDescent="1">
      <c r="M1824" s="164"/>
      <c r="N1824" s="164"/>
      <c r="O1824" s="164"/>
      <c r="P1824" s="164"/>
      <c r="Q1824" s="164"/>
      <c r="R1824" s="164"/>
    </row>
    <row r="1826" spans="13:18" ht="15" customHeight="1" x14ac:dyDescent="1">
      <c r="M1826" s="162"/>
      <c r="N1826" s="162"/>
    </row>
    <row r="1827" spans="13:18" ht="15" customHeight="1" x14ac:dyDescent="1">
      <c r="M1827" s="163"/>
      <c r="N1827" s="163"/>
      <c r="O1827" s="163"/>
      <c r="P1827" s="163"/>
      <c r="Q1827" s="163"/>
      <c r="R1827" s="163"/>
    </row>
    <row r="1828" spans="13:18" ht="15" customHeight="1" x14ac:dyDescent="1">
      <c r="M1828" s="164"/>
      <c r="N1828" s="164"/>
      <c r="O1828" s="164"/>
      <c r="P1828" s="164"/>
      <c r="Q1828" s="164"/>
      <c r="R1828" s="164"/>
    </row>
    <row r="1829" spans="13:18" ht="15" customHeight="1" x14ac:dyDescent="1">
      <c r="M1829" s="164"/>
      <c r="N1829" s="164"/>
      <c r="O1829" s="164"/>
      <c r="P1829" s="164"/>
      <c r="Q1829" s="164"/>
      <c r="R1829" s="164"/>
    </row>
    <row r="1830" spans="13:18" ht="15" customHeight="1" x14ac:dyDescent="1">
      <c r="M1830" s="164"/>
      <c r="N1830" s="164"/>
      <c r="O1830" s="164"/>
      <c r="P1830" s="164"/>
      <c r="Q1830" s="164"/>
      <c r="R1830" s="164"/>
    </row>
    <row r="1831" spans="13:18" ht="15" customHeight="1" x14ac:dyDescent="1">
      <c r="M1831" s="164"/>
      <c r="N1831" s="164"/>
      <c r="O1831" s="164"/>
      <c r="P1831" s="164"/>
      <c r="Q1831" s="164"/>
      <c r="R1831" s="164"/>
    </row>
    <row r="1832" spans="13:18" ht="15" customHeight="1" x14ac:dyDescent="1">
      <c r="M1832" s="164"/>
      <c r="N1832" s="164"/>
      <c r="O1832" s="164"/>
      <c r="P1832" s="164"/>
      <c r="Q1832" s="164"/>
      <c r="R1832" s="164"/>
    </row>
    <row r="1833" spans="13:18" ht="15" customHeight="1" x14ac:dyDescent="1">
      <c r="M1833" s="164"/>
      <c r="N1833" s="164"/>
      <c r="O1833" s="164"/>
      <c r="P1833" s="164"/>
      <c r="Q1833" s="164"/>
      <c r="R1833" s="164"/>
    </row>
    <row r="1834" spans="13:18" ht="15" customHeight="1" x14ac:dyDescent="1">
      <c r="M1834" s="164"/>
      <c r="N1834" s="164"/>
      <c r="O1834" s="164"/>
      <c r="P1834" s="164"/>
      <c r="Q1834" s="164"/>
      <c r="R1834" s="164"/>
    </row>
    <row r="1835" spans="13:18" ht="15" customHeight="1" x14ac:dyDescent="1">
      <c r="M1835" s="164"/>
      <c r="N1835" s="164"/>
      <c r="O1835" s="164"/>
      <c r="P1835" s="164"/>
      <c r="Q1835" s="164"/>
      <c r="R1835" s="164"/>
    </row>
    <row r="1836" spans="13:18" ht="15" customHeight="1" x14ac:dyDescent="1">
      <c r="M1836" s="164"/>
      <c r="N1836" s="164"/>
      <c r="O1836" s="164"/>
      <c r="P1836" s="164"/>
      <c r="Q1836" s="164"/>
      <c r="R1836" s="164"/>
    </row>
    <row r="1837" spans="13:18" ht="15" customHeight="1" x14ac:dyDescent="1">
      <c r="M1837" s="164"/>
      <c r="N1837" s="164"/>
      <c r="O1837" s="164"/>
      <c r="P1837" s="164"/>
      <c r="Q1837" s="164"/>
      <c r="R1837" s="164"/>
    </row>
    <row r="1838" spans="13:18" ht="15" customHeight="1" x14ac:dyDescent="1">
      <c r="M1838" s="164"/>
      <c r="N1838" s="164"/>
      <c r="O1838" s="164"/>
      <c r="P1838" s="164"/>
      <c r="Q1838" s="164"/>
      <c r="R1838" s="164"/>
    </row>
    <row r="1839" spans="13:18" ht="15" customHeight="1" x14ac:dyDescent="1">
      <c r="M1839" s="164"/>
      <c r="N1839" s="164"/>
      <c r="O1839" s="164"/>
      <c r="P1839" s="164"/>
      <c r="Q1839" s="164"/>
      <c r="R1839" s="164"/>
    </row>
    <row r="1840" spans="13:18" ht="15" customHeight="1" x14ac:dyDescent="1">
      <c r="M1840" s="164"/>
      <c r="N1840" s="164"/>
      <c r="O1840" s="164"/>
      <c r="P1840" s="164"/>
      <c r="Q1840" s="164"/>
      <c r="R1840" s="164"/>
    </row>
    <row r="1841" spans="13:18" ht="15" customHeight="1" x14ac:dyDescent="1">
      <c r="M1841" s="164"/>
      <c r="N1841" s="164"/>
      <c r="O1841" s="164"/>
      <c r="P1841" s="164"/>
      <c r="Q1841" s="164"/>
      <c r="R1841" s="164"/>
    </row>
    <row r="1842" spans="13:18" ht="15" customHeight="1" x14ac:dyDescent="1">
      <c r="M1842" s="164"/>
      <c r="N1842" s="164"/>
      <c r="O1842" s="164"/>
      <c r="P1842" s="164"/>
      <c r="Q1842" s="164"/>
      <c r="R1842" s="164"/>
    </row>
    <row r="1844" spans="13:18" ht="15" customHeight="1" x14ac:dyDescent="1">
      <c r="M1844" s="162"/>
      <c r="N1844" s="162"/>
    </row>
    <row r="1845" spans="13:18" ht="15" customHeight="1" x14ac:dyDescent="1">
      <c r="M1845" s="163"/>
      <c r="N1845" s="163"/>
      <c r="O1845" s="163"/>
      <c r="P1845" s="163"/>
      <c r="Q1845" s="163"/>
      <c r="R1845" s="163"/>
    </row>
    <row r="1846" spans="13:18" ht="15" customHeight="1" x14ac:dyDescent="1">
      <c r="M1846" s="164"/>
      <c r="N1846" s="164"/>
      <c r="O1846" s="164"/>
      <c r="P1846" s="164"/>
      <c r="Q1846" s="164"/>
      <c r="R1846" s="164"/>
    </row>
    <row r="1847" spans="13:18" ht="15" customHeight="1" x14ac:dyDescent="1">
      <c r="M1847" s="164"/>
      <c r="N1847" s="164"/>
      <c r="O1847" s="164"/>
      <c r="P1847" s="164"/>
      <c r="Q1847" s="164"/>
      <c r="R1847" s="164"/>
    </row>
    <row r="1848" spans="13:18" ht="15" customHeight="1" x14ac:dyDescent="1">
      <c r="M1848" s="164"/>
      <c r="N1848" s="164"/>
      <c r="O1848" s="164"/>
      <c r="P1848" s="164"/>
      <c r="Q1848" s="164"/>
      <c r="R1848" s="164"/>
    </row>
    <row r="1849" spans="13:18" ht="15" customHeight="1" x14ac:dyDescent="1">
      <c r="M1849" s="164"/>
      <c r="N1849" s="164"/>
      <c r="O1849" s="164"/>
      <c r="P1849" s="164"/>
      <c r="Q1849" s="164"/>
      <c r="R1849" s="164"/>
    </row>
    <row r="1850" spans="13:18" ht="15" customHeight="1" x14ac:dyDescent="1">
      <c r="M1850" s="164"/>
      <c r="N1850" s="164"/>
      <c r="O1850" s="164"/>
      <c r="P1850" s="164"/>
      <c r="Q1850" s="164"/>
      <c r="R1850" s="164"/>
    </row>
    <row r="1852" spans="13:18" ht="15" customHeight="1" x14ac:dyDescent="1">
      <c r="M1852" s="162"/>
      <c r="N1852" s="162"/>
    </row>
    <row r="1853" spans="13:18" ht="15" customHeight="1" x14ac:dyDescent="1">
      <c r="M1853" s="163"/>
      <c r="N1853" s="163"/>
      <c r="O1853" s="163"/>
      <c r="P1853" s="163"/>
      <c r="Q1853" s="163"/>
      <c r="R1853" s="163"/>
    </row>
    <row r="1854" spans="13:18" ht="15" customHeight="1" x14ac:dyDescent="1">
      <c r="M1854" s="164"/>
      <c r="N1854" s="164"/>
      <c r="O1854" s="164"/>
      <c r="P1854" s="164"/>
      <c r="Q1854" s="164"/>
      <c r="R1854" s="164"/>
    </row>
    <row r="1855" spans="13:18" ht="15" customHeight="1" x14ac:dyDescent="1">
      <c r="M1855" s="164"/>
      <c r="N1855" s="164"/>
      <c r="O1855" s="164"/>
      <c r="P1855" s="164"/>
      <c r="Q1855" s="164"/>
      <c r="R1855" s="164"/>
    </row>
    <row r="1856" spans="13:18" ht="15" customHeight="1" x14ac:dyDescent="1">
      <c r="M1856" s="164"/>
      <c r="N1856" s="164"/>
      <c r="O1856" s="164"/>
      <c r="P1856" s="164"/>
      <c r="Q1856" s="164"/>
      <c r="R1856" s="164"/>
    </row>
    <row r="1857" spans="13:18" ht="15" customHeight="1" x14ac:dyDescent="1">
      <c r="M1857" s="164"/>
      <c r="N1857" s="164"/>
      <c r="O1857" s="164"/>
      <c r="P1857" s="164"/>
      <c r="Q1857" s="164"/>
      <c r="R1857" s="164"/>
    </row>
    <row r="1858" spans="13:18" ht="15" customHeight="1" x14ac:dyDescent="1">
      <c r="M1858" s="164"/>
      <c r="N1858" s="164"/>
      <c r="O1858" s="164"/>
      <c r="P1858" s="164"/>
      <c r="Q1858" s="164"/>
      <c r="R1858" s="164"/>
    </row>
    <row r="1860" spans="13:18" ht="15" customHeight="1" x14ac:dyDescent="1">
      <c r="M1860" s="162"/>
      <c r="N1860" s="162"/>
    </row>
    <row r="1861" spans="13:18" ht="15" customHeight="1" x14ac:dyDescent="1">
      <c r="M1861" s="163"/>
      <c r="N1861" s="163"/>
      <c r="O1861" s="163"/>
      <c r="P1861" s="163"/>
      <c r="Q1861" s="163"/>
      <c r="R1861" s="163"/>
    </row>
    <row r="1862" spans="13:18" ht="15" customHeight="1" x14ac:dyDescent="1">
      <c r="M1862" s="164"/>
      <c r="N1862" s="164"/>
      <c r="O1862" s="164"/>
      <c r="P1862" s="164"/>
      <c r="Q1862" s="164"/>
      <c r="R1862" s="164"/>
    </row>
    <row r="1863" spans="13:18" ht="15" customHeight="1" x14ac:dyDescent="1">
      <c r="M1863" s="164"/>
      <c r="N1863" s="164"/>
      <c r="O1863" s="164"/>
      <c r="P1863" s="164"/>
      <c r="Q1863" s="164"/>
      <c r="R1863" s="164"/>
    </row>
    <row r="1864" spans="13:18" ht="15" customHeight="1" x14ac:dyDescent="1">
      <c r="M1864" s="164"/>
      <c r="N1864" s="164"/>
      <c r="O1864" s="164"/>
      <c r="P1864" s="164"/>
      <c r="Q1864" s="164"/>
      <c r="R1864" s="164"/>
    </row>
    <row r="1865" spans="13:18" ht="15" customHeight="1" x14ac:dyDescent="1">
      <c r="M1865" s="164"/>
      <c r="N1865" s="164"/>
      <c r="O1865" s="164"/>
      <c r="P1865" s="164"/>
      <c r="Q1865" s="164"/>
      <c r="R1865" s="164"/>
    </row>
    <row r="1866" spans="13:18" ht="15" customHeight="1" x14ac:dyDescent="1">
      <c r="M1866" s="164"/>
      <c r="N1866" s="164"/>
      <c r="O1866" s="164"/>
      <c r="P1866" s="164"/>
      <c r="Q1866" s="164"/>
      <c r="R1866" s="164"/>
    </row>
    <row r="1868" spans="13:18" ht="15" customHeight="1" x14ac:dyDescent="1">
      <c r="M1868" s="162"/>
      <c r="N1868" s="162"/>
    </row>
    <row r="1869" spans="13:18" ht="15" customHeight="1" x14ac:dyDescent="1">
      <c r="M1869" s="163"/>
      <c r="N1869" s="163"/>
      <c r="O1869" s="163"/>
      <c r="P1869" s="163"/>
      <c r="Q1869" s="163"/>
      <c r="R1869" s="163"/>
    </row>
    <row r="1870" spans="13:18" ht="15" customHeight="1" x14ac:dyDescent="1">
      <c r="M1870" s="164"/>
      <c r="N1870" s="164"/>
      <c r="O1870" s="164"/>
      <c r="P1870" s="164"/>
      <c r="Q1870" s="164"/>
      <c r="R1870" s="164"/>
    </row>
    <row r="1871" spans="13:18" ht="15" customHeight="1" x14ac:dyDescent="1">
      <c r="M1871" s="164"/>
      <c r="N1871" s="164"/>
      <c r="O1871" s="164"/>
      <c r="P1871" s="164"/>
      <c r="Q1871" s="164"/>
      <c r="R1871" s="164"/>
    </row>
    <row r="1872" spans="13:18" ht="15" customHeight="1" x14ac:dyDescent="1">
      <c r="M1872" s="164"/>
      <c r="N1872" s="164"/>
      <c r="O1872" s="164"/>
      <c r="P1872" s="164"/>
      <c r="Q1872" s="164"/>
      <c r="R1872" s="164"/>
    </row>
    <row r="1873" spans="13:18" ht="15" customHeight="1" x14ac:dyDescent="1">
      <c r="M1873" s="164"/>
      <c r="N1873" s="164"/>
      <c r="O1873" s="164"/>
      <c r="P1873" s="164"/>
      <c r="Q1873" s="164"/>
      <c r="R1873" s="164"/>
    </row>
    <row r="1874" spans="13:18" ht="15" customHeight="1" x14ac:dyDescent="1">
      <c r="M1874" s="164"/>
      <c r="N1874" s="164"/>
      <c r="O1874" s="164"/>
      <c r="P1874" s="164"/>
      <c r="Q1874" s="164"/>
      <c r="R1874" s="164"/>
    </row>
    <row r="1876" spans="13:18" ht="15" customHeight="1" x14ac:dyDescent="1">
      <c r="M1876" s="162"/>
      <c r="N1876" s="162"/>
    </row>
    <row r="1877" spans="13:18" ht="15" customHeight="1" x14ac:dyDescent="1">
      <c r="M1877" s="163"/>
      <c r="N1877" s="163"/>
      <c r="O1877" s="163"/>
      <c r="P1877" s="163"/>
      <c r="Q1877" s="163"/>
      <c r="R1877" s="163"/>
    </row>
    <row r="1878" spans="13:18" ht="15" customHeight="1" x14ac:dyDescent="1">
      <c r="M1878" s="164"/>
      <c r="N1878" s="164"/>
      <c r="O1878" s="164"/>
      <c r="P1878" s="164"/>
      <c r="Q1878" s="164"/>
      <c r="R1878" s="164"/>
    </row>
    <row r="1879" spans="13:18" ht="15" customHeight="1" x14ac:dyDescent="1">
      <c r="M1879" s="164"/>
      <c r="N1879" s="164"/>
      <c r="O1879" s="164"/>
      <c r="P1879" s="164"/>
      <c r="Q1879" s="164"/>
      <c r="R1879" s="164"/>
    </row>
    <row r="1880" spans="13:18" ht="15" customHeight="1" x14ac:dyDescent="1">
      <c r="M1880" s="164"/>
      <c r="N1880" s="164"/>
      <c r="O1880" s="164"/>
      <c r="P1880" s="164"/>
      <c r="Q1880" s="164"/>
      <c r="R1880" s="164"/>
    </row>
    <row r="1881" spans="13:18" ht="15" customHeight="1" x14ac:dyDescent="1">
      <c r="M1881" s="164"/>
      <c r="N1881" s="164"/>
      <c r="O1881" s="164"/>
      <c r="P1881" s="164"/>
      <c r="Q1881" s="164"/>
      <c r="R1881" s="164"/>
    </row>
    <row r="1882" spans="13:18" ht="15" customHeight="1" x14ac:dyDescent="1">
      <c r="M1882" s="164"/>
      <c r="N1882" s="164"/>
      <c r="O1882" s="164"/>
      <c r="P1882" s="164"/>
      <c r="Q1882" s="164"/>
      <c r="R1882" s="164"/>
    </row>
    <row r="1884" spans="13:18" ht="15" customHeight="1" x14ac:dyDescent="1">
      <c r="M1884" s="162"/>
      <c r="N1884" s="162"/>
    </row>
    <row r="1885" spans="13:18" ht="15" customHeight="1" x14ac:dyDescent="1">
      <c r="M1885" s="163"/>
      <c r="N1885" s="163"/>
      <c r="O1885" s="163"/>
      <c r="P1885" s="163"/>
      <c r="Q1885" s="163"/>
      <c r="R1885" s="163"/>
    </row>
    <row r="1886" spans="13:18" ht="15" customHeight="1" x14ac:dyDescent="1">
      <c r="M1886" s="164"/>
      <c r="N1886" s="164"/>
      <c r="O1886" s="164"/>
      <c r="P1886" s="164"/>
      <c r="Q1886" s="164"/>
      <c r="R1886" s="164"/>
    </row>
    <row r="1887" spans="13:18" ht="15" customHeight="1" x14ac:dyDescent="1">
      <c r="M1887" s="164"/>
      <c r="N1887" s="164"/>
      <c r="O1887" s="164"/>
      <c r="P1887" s="164"/>
      <c r="Q1887" s="164"/>
      <c r="R1887" s="164"/>
    </row>
    <row r="1888" spans="13:18" ht="15" customHeight="1" x14ac:dyDescent="1">
      <c r="M1888" s="164"/>
      <c r="N1888" s="164"/>
      <c r="O1888" s="164"/>
      <c r="P1888" s="164"/>
      <c r="Q1888" s="164"/>
      <c r="R1888" s="164"/>
    </row>
    <row r="1889" spans="13:18" ht="15" customHeight="1" x14ac:dyDescent="1">
      <c r="M1889" s="164"/>
      <c r="N1889" s="164"/>
      <c r="O1889" s="164"/>
      <c r="P1889" s="164"/>
      <c r="Q1889" s="164"/>
      <c r="R1889" s="164"/>
    </row>
    <row r="1890" spans="13:18" ht="15" customHeight="1" x14ac:dyDescent="1">
      <c r="M1890" s="164"/>
      <c r="N1890" s="164"/>
      <c r="O1890" s="164"/>
      <c r="P1890" s="164"/>
      <c r="Q1890" s="164"/>
      <c r="R1890" s="164"/>
    </row>
    <row r="1892" spans="13:18" ht="15" customHeight="1" x14ac:dyDescent="1">
      <c r="M1892" s="162"/>
      <c r="N1892" s="162"/>
    </row>
    <row r="1893" spans="13:18" ht="15" customHeight="1" x14ac:dyDescent="1">
      <c r="M1893" s="163"/>
      <c r="N1893" s="163"/>
      <c r="O1893" s="163"/>
      <c r="P1893" s="163"/>
      <c r="Q1893" s="163"/>
      <c r="R1893" s="163"/>
    </row>
    <row r="1894" spans="13:18" ht="15" customHeight="1" x14ac:dyDescent="1">
      <c r="M1894" s="164"/>
      <c r="N1894" s="164"/>
      <c r="O1894" s="164"/>
      <c r="P1894" s="164"/>
      <c r="Q1894" s="164"/>
      <c r="R1894" s="164"/>
    </row>
    <row r="1895" spans="13:18" ht="15" customHeight="1" x14ac:dyDescent="1">
      <c r="M1895" s="164"/>
      <c r="N1895" s="164"/>
      <c r="O1895" s="164"/>
      <c r="P1895" s="164"/>
      <c r="Q1895" s="164"/>
      <c r="R1895" s="164"/>
    </row>
    <row r="1896" spans="13:18" ht="15" customHeight="1" x14ac:dyDescent="1">
      <c r="M1896" s="164"/>
      <c r="N1896" s="164"/>
      <c r="O1896" s="164"/>
      <c r="P1896" s="164"/>
      <c r="Q1896" s="164"/>
      <c r="R1896" s="164"/>
    </row>
    <row r="1897" spans="13:18" ht="15" customHeight="1" x14ac:dyDescent="1">
      <c r="M1897" s="164"/>
      <c r="N1897" s="164"/>
      <c r="O1897" s="164"/>
      <c r="P1897" s="164"/>
      <c r="Q1897" s="164"/>
      <c r="R1897" s="164"/>
    </row>
    <row r="1898" spans="13:18" ht="15" customHeight="1" x14ac:dyDescent="1">
      <c r="M1898" s="164"/>
      <c r="N1898" s="164"/>
      <c r="O1898" s="164"/>
      <c r="P1898" s="164"/>
      <c r="Q1898" s="164"/>
      <c r="R1898" s="164"/>
    </row>
    <row r="1900" spans="13:18" ht="15" customHeight="1" x14ac:dyDescent="1">
      <c r="M1900" s="162"/>
      <c r="N1900" s="162"/>
    </row>
    <row r="1901" spans="13:18" ht="15" customHeight="1" x14ac:dyDescent="1">
      <c r="M1901" s="163"/>
      <c r="N1901" s="163"/>
      <c r="O1901" s="163"/>
      <c r="P1901" s="163"/>
      <c r="Q1901" s="163"/>
      <c r="R1901" s="163"/>
    </row>
    <row r="1902" spans="13:18" ht="15" customHeight="1" x14ac:dyDescent="1">
      <c r="M1902" s="164"/>
      <c r="N1902" s="164"/>
      <c r="O1902" s="164"/>
      <c r="P1902" s="164"/>
      <c r="Q1902" s="164"/>
      <c r="R1902" s="164"/>
    </row>
    <row r="1903" spans="13:18" ht="15" customHeight="1" x14ac:dyDescent="1">
      <c r="M1903" s="164"/>
      <c r="N1903" s="164"/>
      <c r="O1903" s="164"/>
      <c r="P1903" s="164"/>
      <c r="Q1903" s="164"/>
      <c r="R1903" s="164"/>
    </row>
    <row r="1904" spans="13:18" ht="15" customHeight="1" x14ac:dyDescent="1">
      <c r="M1904" s="164"/>
      <c r="N1904" s="164"/>
      <c r="O1904" s="164"/>
      <c r="P1904" s="164"/>
      <c r="Q1904" s="164"/>
      <c r="R1904" s="164"/>
    </row>
    <row r="1905" spans="13:18" ht="15" customHeight="1" x14ac:dyDescent="1">
      <c r="M1905" s="164"/>
      <c r="N1905" s="164"/>
      <c r="O1905" s="164"/>
      <c r="P1905" s="164"/>
      <c r="Q1905" s="164"/>
      <c r="R1905" s="164"/>
    </row>
    <row r="1906" spans="13:18" ht="15" customHeight="1" x14ac:dyDescent="1">
      <c r="M1906" s="164"/>
      <c r="N1906" s="164"/>
      <c r="O1906" s="164"/>
      <c r="P1906" s="164"/>
      <c r="Q1906" s="164"/>
      <c r="R1906" s="164"/>
    </row>
    <row r="1908" spans="13:18" ht="15" customHeight="1" x14ac:dyDescent="1">
      <c r="M1908" s="162"/>
      <c r="N1908" s="162"/>
    </row>
    <row r="1909" spans="13:18" ht="15" customHeight="1" x14ac:dyDescent="1">
      <c r="M1909" s="163"/>
      <c r="N1909" s="163"/>
      <c r="O1909" s="163"/>
      <c r="P1909" s="163"/>
      <c r="Q1909" s="163"/>
      <c r="R1909" s="163"/>
    </row>
    <row r="1910" spans="13:18" ht="15" customHeight="1" x14ac:dyDescent="1">
      <c r="M1910" s="164"/>
      <c r="N1910" s="164"/>
      <c r="O1910" s="164"/>
      <c r="P1910" s="164"/>
      <c r="Q1910" s="164"/>
      <c r="R1910" s="164"/>
    </row>
    <row r="1911" spans="13:18" ht="15" customHeight="1" x14ac:dyDescent="1">
      <c r="M1911" s="164"/>
      <c r="N1911" s="164"/>
      <c r="O1911" s="164"/>
      <c r="P1911" s="164"/>
      <c r="Q1911" s="164"/>
      <c r="R1911" s="164"/>
    </row>
    <row r="1912" spans="13:18" ht="15" customHeight="1" x14ac:dyDescent="1">
      <c r="M1912" s="164"/>
      <c r="N1912" s="164"/>
      <c r="O1912" s="164"/>
      <c r="P1912" s="164"/>
      <c r="Q1912" s="164"/>
      <c r="R1912" s="164"/>
    </row>
    <row r="1913" spans="13:18" ht="15" customHeight="1" x14ac:dyDescent="1">
      <c r="M1913" s="164"/>
      <c r="N1913" s="164"/>
      <c r="O1913" s="164"/>
      <c r="P1913" s="164"/>
      <c r="Q1913" s="164"/>
      <c r="R1913" s="164"/>
    </row>
    <row r="1914" spans="13:18" ht="15" customHeight="1" x14ac:dyDescent="1">
      <c r="M1914" s="164"/>
      <c r="N1914" s="164"/>
      <c r="O1914" s="164"/>
      <c r="P1914" s="164"/>
      <c r="Q1914" s="164"/>
      <c r="R1914" s="164"/>
    </row>
    <row r="1916" spans="13:18" ht="15" customHeight="1" x14ac:dyDescent="1">
      <c r="M1916" s="162"/>
      <c r="N1916" s="162"/>
    </row>
    <row r="1917" spans="13:18" ht="15" customHeight="1" x14ac:dyDescent="1">
      <c r="M1917" s="163"/>
      <c r="N1917" s="163"/>
      <c r="O1917" s="163"/>
      <c r="P1917" s="163"/>
      <c r="Q1917" s="163"/>
      <c r="R1917" s="163"/>
    </row>
    <row r="1918" spans="13:18" ht="15" customHeight="1" x14ac:dyDescent="1">
      <c r="M1918" s="164"/>
      <c r="N1918" s="164"/>
      <c r="O1918" s="164"/>
      <c r="P1918" s="164"/>
      <c r="Q1918" s="164"/>
      <c r="R1918" s="164"/>
    </row>
    <row r="1919" spans="13:18" ht="15" customHeight="1" x14ac:dyDescent="1">
      <c r="M1919" s="164"/>
      <c r="N1919" s="164"/>
      <c r="O1919" s="164"/>
      <c r="P1919" s="164"/>
      <c r="Q1919" s="164"/>
      <c r="R1919" s="164"/>
    </row>
    <row r="1920" spans="13:18" ht="15" customHeight="1" x14ac:dyDescent="1">
      <c r="M1920" s="164"/>
      <c r="N1920" s="164"/>
      <c r="O1920" s="164"/>
      <c r="P1920" s="164"/>
      <c r="Q1920" s="164"/>
      <c r="R1920" s="164"/>
    </row>
    <row r="1921" spans="13:18" ht="15" customHeight="1" x14ac:dyDescent="1">
      <c r="M1921" s="164"/>
      <c r="N1921" s="164"/>
      <c r="O1921" s="164"/>
      <c r="P1921" s="164"/>
      <c r="Q1921" s="164"/>
      <c r="R1921" s="164"/>
    </row>
    <row r="1922" spans="13:18" ht="15" customHeight="1" x14ac:dyDescent="1">
      <c r="M1922" s="164"/>
      <c r="N1922" s="164"/>
      <c r="O1922" s="164"/>
      <c r="P1922" s="164"/>
      <c r="Q1922" s="164"/>
      <c r="R1922" s="164"/>
    </row>
    <row r="1924" spans="13:18" ht="15" customHeight="1" x14ac:dyDescent="1">
      <c r="M1924" s="162"/>
      <c r="N1924" s="162"/>
    </row>
    <row r="1925" spans="13:18" ht="15" customHeight="1" x14ac:dyDescent="1">
      <c r="M1925" s="163"/>
      <c r="N1925" s="163"/>
      <c r="O1925" s="163"/>
      <c r="P1925" s="163"/>
      <c r="Q1925" s="163"/>
      <c r="R1925" s="163"/>
    </row>
    <row r="1926" spans="13:18" ht="15" customHeight="1" x14ac:dyDescent="1">
      <c r="M1926" s="164"/>
      <c r="N1926" s="164"/>
      <c r="O1926" s="164"/>
      <c r="P1926" s="164"/>
      <c r="Q1926" s="164"/>
      <c r="R1926" s="164"/>
    </row>
    <row r="1927" spans="13:18" ht="15" customHeight="1" x14ac:dyDescent="1">
      <c r="M1927" s="164"/>
      <c r="N1927" s="164"/>
      <c r="O1927" s="164"/>
      <c r="P1927" s="164"/>
      <c r="Q1927" s="164"/>
      <c r="R1927" s="164"/>
    </row>
    <row r="1928" spans="13:18" ht="15" customHeight="1" x14ac:dyDescent="1">
      <c r="M1928" s="164"/>
      <c r="N1928" s="164"/>
      <c r="O1928" s="164"/>
      <c r="P1928" s="164"/>
      <c r="Q1928" s="164"/>
      <c r="R1928" s="164"/>
    </row>
    <row r="1929" spans="13:18" ht="15" customHeight="1" x14ac:dyDescent="1">
      <c r="M1929" s="164"/>
      <c r="N1929" s="164"/>
      <c r="O1929" s="164"/>
      <c r="P1929" s="164"/>
      <c r="Q1929" s="164"/>
      <c r="R1929" s="164"/>
    </row>
    <row r="1930" spans="13:18" ht="15" customHeight="1" x14ac:dyDescent="1">
      <c r="M1930" s="164"/>
      <c r="N1930" s="164"/>
      <c r="O1930" s="164"/>
      <c r="P1930" s="164"/>
      <c r="Q1930" s="164"/>
      <c r="R1930" s="164"/>
    </row>
    <row r="1932" spans="13:18" ht="15" customHeight="1" x14ac:dyDescent="1">
      <c r="M1932" s="162"/>
      <c r="N1932" s="162"/>
    </row>
    <row r="1933" spans="13:18" ht="15" customHeight="1" x14ac:dyDescent="1">
      <c r="M1933" s="163"/>
      <c r="N1933" s="163"/>
      <c r="O1933" s="163"/>
      <c r="P1933" s="163"/>
      <c r="Q1933" s="163"/>
      <c r="R1933" s="163"/>
    </row>
    <row r="1934" spans="13:18" ht="15" customHeight="1" x14ac:dyDescent="1">
      <c r="M1934" s="164"/>
      <c r="N1934" s="164"/>
      <c r="O1934" s="164"/>
      <c r="P1934" s="164"/>
      <c r="Q1934" s="164"/>
      <c r="R1934" s="164"/>
    </row>
    <row r="1935" spans="13:18" ht="15" customHeight="1" x14ac:dyDescent="1">
      <c r="M1935" s="164"/>
      <c r="N1935" s="164"/>
      <c r="O1935" s="164"/>
      <c r="P1935" s="164"/>
      <c r="Q1935" s="164"/>
      <c r="R1935" s="164"/>
    </row>
    <row r="1936" spans="13:18" ht="15" customHeight="1" x14ac:dyDescent="1">
      <c r="M1936" s="164"/>
      <c r="N1936" s="164"/>
      <c r="O1936" s="164"/>
      <c r="P1936" s="164"/>
      <c r="Q1936" s="164"/>
      <c r="R1936" s="164"/>
    </row>
    <row r="1937" spans="13:18" ht="15" customHeight="1" x14ac:dyDescent="1">
      <c r="M1937" s="164"/>
      <c r="N1937" s="164"/>
      <c r="O1937" s="164"/>
      <c r="P1937" s="164"/>
      <c r="Q1937" s="164"/>
      <c r="R1937" s="164"/>
    </row>
    <row r="1938" spans="13:18" ht="15" customHeight="1" x14ac:dyDescent="1">
      <c r="M1938" s="164"/>
      <c r="N1938" s="164"/>
      <c r="O1938" s="164"/>
      <c r="P1938" s="164"/>
      <c r="Q1938" s="164"/>
      <c r="R1938" s="164"/>
    </row>
    <row r="1940" spans="13:18" ht="15" customHeight="1" x14ac:dyDescent="1">
      <c r="M1940" s="162"/>
      <c r="N1940" s="162"/>
    </row>
    <row r="1941" spans="13:18" ht="15" customHeight="1" x14ac:dyDescent="1">
      <c r="M1941" s="163"/>
      <c r="N1941" s="163"/>
      <c r="O1941" s="163"/>
      <c r="P1941" s="163"/>
      <c r="Q1941" s="163"/>
      <c r="R1941" s="163"/>
    </row>
    <row r="1942" spans="13:18" ht="15" customHeight="1" x14ac:dyDescent="1">
      <c r="M1942" s="164"/>
      <c r="N1942" s="164"/>
      <c r="O1942" s="164"/>
      <c r="P1942" s="164"/>
      <c r="Q1942" s="164"/>
      <c r="R1942" s="164"/>
    </row>
    <row r="1943" spans="13:18" ht="15" customHeight="1" x14ac:dyDescent="1">
      <c r="M1943" s="164"/>
      <c r="N1943" s="164"/>
      <c r="O1943" s="164"/>
      <c r="P1943" s="164"/>
      <c r="Q1943" s="164"/>
      <c r="R1943" s="164"/>
    </row>
    <row r="1944" spans="13:18" ht="15" customHeight="1" x14ac:dyDescent="1">
      <c r="M1944" s="164"/>
      <c r="N1944" s="164"/>
      <c r="O1944" s="164"/>
      <c r="P1944" s="164"/>
      <c r="Q1944" s="164"/>
      <c r="R1944" s="164"/>
    </row>
    <row r="1945" spans="13:18" ht="15" customHeight="1" x14ac:dyDescent="1">
      <c r="M1945" s="164"/>
      <c r="N1945" s="164"/>
      <c r="O1945" s="164"/>
      <c r="P1945" s="164"/>
      <c r="Q1945" s="164"/>
      <c r="R1945" s="164"/>
    </row>
    <row r="1946" spans="13:18" ht="15" customHeight="1" x14ac:dyDescent="1">
      <c r="M1946" s="164"/>
      <c r="N1946" s="164"/>
      <c r="O1946" s="164"/>
      <c r="P1946" s="164"/>
      <c r="Q1946" s="164"/>
      <c r="R1946" s="164"/>
    </row>
    <row r="1948" spans="13:18" ht="15" customHeight="1" x14ac:dyDescent="1">
      <c r="M1948" s="162"/>
      <c r="N1948" s="162"/>
    </row>
    <row r="1949" spans="13:18" ht="15" customHeight="1" x14ac:dyDescent="1">
      <c r="M1949" s="163"/>
      <c r="N1949" s="163"/>
      <c r="O1949" s="163"/>
      <c r="P1949" s="163"/>
      <c r="Q1949" s="163"/>
      <c r="R1949" s="163"/>
    </row>
    <row r="1950" spans="13:18" ht="15" customHeight="1" x14ac:dyDescent="1">
      <c r="M1950" s="164"/>
      <c r="N1950" s="164"/>
      <c r="O1950" s="164"/>
      <c r="P1950" s="164"/>
      <c r="Q1950" s="164"/>
      <c r="R1950" s="164"/>
    </row>
    <row r="1951" spans="13:18" ht="15" customHeight="1" x14ac:dyDescent="1">
      <c r="M1951" s="164"/>
      <c r="N1951" s="164"/>
      <c r="O1951" s="164"/>
      <c r="P1951" s="164"/>
      <c r="Q1951" s="164"/>
      <c r="R1951" s="164"/>
    </row>
    <row r="1952" spans="13:18" ht="15" customHeight="1" x14ac:dyDescent="1">
      <c r="M1952" s="164"/>
      <c r="N1952" s="164"/>
      <c r="O1952" s="164"/>
      <c r="P1952" s="164"/>
      <c r="Q1952" s="164"/>
      <c r="R1952" s="164"/>
    </row>
    <row r="1953" spans="13:18" ht="15" customHeight="1" x14ac:dyDescent="1">
      <c r="M1953" s="164"/>
      <c r="N1953" s="164"/>
      <c r="O1953" s="164"/>
      <c r="P1953" s="164"/>
      <c r="Q1953" s="164"/>
      <c r="R1953" s="164"/>
    </row>
    <row r="1954" spans="13:18" ht="15" customHeight="1" x14ac:dyDescent="1">
      <c r="M1954" s="164"/>
      <c r="N1954" s="164"/>
      <c r="O1954" s="164"/>
      <c r="P1954" s="164"/>
      <c r="Q1954" s="164"/>
      <c r="R1954" s="164"/>
    </row>
    <row r="1956" spans="13:18" ht="15" customHeight="1" x14ac:dyDescent="1">
      <c r="M1956" s="162"/>
      <c r="N1956" s="162"/>
    </row>
    <row r="1957" spans="13:18" ht="15" customHeight="1" x14ac:dyDescent="1">
      <c r="M1957" s="163"/>
      <c r="N1957" s="163"/>
      <c r="O1957" s="163"/>
      <c r="P1957" s="163"/>
      <c r="Q1957" s="163"/>
      <c r="R1957" s="163"/>
    </row>
    <row r="1958" spans="13:18" ht="15" customHeight="1" x14ac:dyDescent="1">
      <c r="M1958" s="164"/>
      <c r="N1958" s="164"/>
      <c r="O1958" s="164"/>
      <c r="P1958" s="164"/>
      <c r="Q1958" s="164"/>
      <c r="R1958" s="164"/>
    </row>
    <row r="1959" spans="13:18" ht="15" customHeight="1" x14ac:dyDescent="1">
      <c r="M1959" s="164"/>
      <c r="N1959" s="164"/>
      <c r="O1959" s="164"/>
      <c r="P1959" s="164"/>
      <c r="Q1959" s="164"/>
      <c r="R1959" s="164"/>
    </row>
    <row r="1960" spans="13:18" ht="15" customHeight="1" x14ac:dyDescent="1">
      <c r="M1960" s="164"/>
      <c r="N1960" s="164"/>
      <c r="O1960" s="164"/>
      <c r="P1960" s="164"/>
      <c r="Q1960" s="164"/>
      <c r="R1960" s="164"/>
    </row>
    <row r="1961" spans="13:18" ht="15" customHeight="1" x14ac:dyDescent="1">
      <c r="M1961" s="164"/>
      <c r="N1961" s="164"/>
      <c r="O1961" s="164"/>
      <c r="P1961" s="164"/>
      <c r="Q1961" s="164"/>
      <c r="R1961" s="164"/>
    </row>
    <row r="1962" spans="13:18" ht="15" customHeight="1" x14ac:dyDescent="1">
      <c r="M1962" s="164"/>
      <c r="N1962" s="164"/>
      <c r="O1962" s="164"/>
      <c r="P1962" s="164"/>
      <c r="Q1962" s="164"/>
      <c r="R1962" s="164"/>
    </row>
    <row r="1964" spans="13:18" ht="15" customHeight="1" x14ac:dyDescent="1">
      <c r="M1964" s="162"/>
      <c r="N1964" s="162"/>
    </row>
    <row r="1965" spans="13:18" ht="15" customHeight="1" x14ac:dyDescent="1">
      <c r="M1965" s="163"/>
      <c r="N1965" s="163"/>
      <c r="O1965" s="163"/>
      <c r="P1965" s="163"/>
      <c r="Q1965" s="163"/>
      <c r="R1965" s="163"/>
    </row>
    <row r="1966" spans="13:18" ht="15" customHeight="1" x14ac:dyDescent="1">
      <c r="M1966" s="164"/>
      <c r="N1966" s="164"/>
      <c r="O1966" s="164"/>
      <c r="P1966" s="164"/>
      <c r="Q1966" s="164"/>
      <c r="R1966" s="164"/>
    </row>
    <row r="1967" spans="13:18" ht="15" customHeight="1" x14ac:dyDescent="1">
      <c r="M1967" s="164"/>
      <c r="N1967" s="164"/>
      <c r="O1967" s="164"/>
      <c r="P1967" s="164"/>
      <c r="Q1967" s="164"/>
      <c r="R1967" s="164"/>
    </row>
    <row r="1968" spans="13:18" ht="15" customHeight="1" x14ac:dyDescent="1">
      <c r="M1968" s="164"/>
      <c r="N1968" s="164"/>
      <c r="O1968" s="164"/>
      <c r="P1968" s="164"/>
      <c r="Q1968" s="164"/>
      <c r="R1968" s="164"/>
    </row>
    <row r="1969" spans="13:18" ht="15" customHeight="1" x14ac:dyDescent="1">
      <c r="M1969" s="164"/>
      <c r="N1969" s="164"/>
      <c r="O1969" s="164"/>
      <c r="P1969" s="164"/>
      <c r="Q1969" s="164"/>
      <c r="R1969" s="164"/>
    </row>
    <row r="1970" spans="13:18" ht="15" customHeight="1" x14ac:dyDescent="1">
      <c r="M1970" s="164"/>
      <c r="N1970" s="164"/>
      <c r="O1970" s="164"/>
      <c r="P1970" s="164"/>
      <c r="Q1970" s="164"/>
      <c r="R1970" s="164"/>
    </row>
    <row r="1972" spans="13:18" ht="15" customHeight="1" x14ac:dyDescent="1">
      <c r="M1972" s="162"/>
      <c r="N1972" s="162"/>
    </row>
    <row r="1973" spans="13:18" ht="15" customHeight="1" x14ac:dyDescent="1">
      <c r="M1973" s="163"/>
      <c r="N1973" s="163"/>
      <c r="O1973" s="163"/>
      <c r="P1973" s="163"/>
      <c r="Q1973" s="163"/>
      <c r="R1973" s="163"/>
    </row>
    <row r="1974" spans="13:18" ht="15" customHeight="1" x14ac:dyDescent="1">
      <c r="M1974" s="164"/>
      <c r="N1974" s="164"/>
      <c r="O1974" s="164"/>
      <c r="P1974" s="164"/>
      <c r="Q1974" s="164"/>
      <c r="R1974" s="164"/>
    </row>
    <row r="1975" spans="13:18" ht="15" customHeight="1" x14ac:dyDescent="1">
      <c r="M1975" s="164"/>
      <c r="N1975" s="164"/>
      <c r="O1975" s="164"/>
      <c r="P1975" s="164"/>
      <c r="Q1975" s="164"/>
      <c r="R1975" s="164"/>
    </row>
    <row r="1976" spans="13:18" ht="15" customHeight="1" x14ac:dyDescent="1">
      <c r="M1976" s="164"/>
      <c r="N1976" s="164"/>
      <c r="O1976" s="164"/>
      <c r="P1976" s="164"/>
      <c r="Q1976" s="164"/>
      <c r="R1976" s="164"/>
    </row>
    <row r="1977" spans="13:18" ht="15" customHeight="1" x14ac:dyDescent="1">
      <c r="M1977" s="164"/>
      <c r="N1977" s="164"/>
      <c r="O1977" s="164"/>
      <c r="P1977" s="164"/>
      <c r="Q1977" s="164"/>
      <c r="R1977" s="164"/>
    </row>
    <row r="1978" spans="13:18" ht="15" customHeight="1" x14ac:dyDescent="1">
      <c r="M1978" s="164"/>
      <c r="N1978" s="164"/>
      <c r="O1978" s="164"/>
      <c r="P1978" s="164"/>
      <c r="Q1978" s="164"/>
      <c r="R1978" s="164"/>
    </row>
    <row r="1980" spans="13:18" ht="15" customHeight="1" x14ac:dyDescent="1">
      <c r="M1980" s="162"/>
      <c r="N1980" s="162"/>
    </row>
    <row r="1981" spans="13:18" ht="15" customHeight="1" x14ac:dyDescent="1">
      <c r="M1981" s="163"/>
      <c r="N1981" s="163"/>
      <c r="O1981" s="163"/>
      <c r="P1981" s="163"/>
      <c r="Q1981" s="163"/>
      <c r="R1981" s="163"/>
    </row>
    <row r="1982" spans="13:18" ht="15" customHeight="1" x14ac:dyDescent="1">
      <c r="M1982" s="164"/>
      <c r="N1982" s="164"/>
      <c r="O1982" s="164"/>
      <c r="P1982" s="164"/>
      <c r="Q1982" s="164"/>
      <c r="R1982" s="164"/>
    </row>
    <row r="1983" spans="13:18" ht="15" customHeight="1" x14ac:dyDescent="1">
      <c r="M1983" s="164"/>
      <c r="N1983" s="164"/>
      <c r="O1983" s="164"/>
      <c r="P1983" s="164"/>
      <c r="Q1983" s="164"/>
      <c r="R1983" s="164"/>
    </row>
    <row r="1984" spans="13:18" ht="15" customHeight="1" x14ac:dyDescent="1">
      <c r="M1984" s="164"/>
      <c r="N1984" s="164"/>
      <c r="O1984" s="164"/>
      <c r="P1984" s="164"/>
      <c r="Q1984" s="164"/>
      <c r="R1984" s="164"/>
    </row>
    <row r="1985" spans="13:18" ht="15" customHeight="1" x14ac:dyDescent="1">
      <c r="M1985" s="164"/>
      <c r="N1985" s="164"/>
      <c r="O1985" s="164"/>
      <c r="P1985" s="164"/>
      <c r="Q1985" s="164"/>
      <c r="R1985" s="164"/>
    </row>
    <row r="1986" spans="13:18" ht="15" customHeight="1" x14ac:dyDescent="1">
      <c r="M1986" s="164"/>
      <c r="N1986" s="164"/>
      <c r="O1986" s="164"/>
      <c r="P1986" s="164"/>
      <c r="Q1986" s="164"/>
      <c r="R1986" s="164"/>
    </row>
    <row r="1988" spans="13:18" ht="15" customHeight="1" x14ac:dyDescent="1">
      <c r="M1988" s="162"/>
      <c r="N1988" s="162"/>
    </row>
    <row r="1989" spans="13:18" ht="15" customHeight="1" x14ac:dyDescent="1">
      <c r="M1989" s="163"/>
      <c r="N1989" s="163"/>
      <c r="O1989" s="163"/>
      <c r="P1989" s="163"/>
      <c r="Q1989" s="163"/>
      <c r="R1989" s="163"/>
    </row>
    <row r="1990" spans="13:18" ht="15" customHeight="1" x14ac:dyDescent="1">
      <c r="M1990" s="164"/>
      <c r="N1990" s="164"/>
      <c r="O1990" s="164"/>
      <c r="P1990" s="164"/>
      <c r="Q1990" s="164"/>
      <c r="R1990" s="164"/>
    </row>
    <row r="1991" spans="13:18" ht="15" customHeight="1" x14ac:dyDescent="1">
      <c r="M1991" s="164"/>
      <c r="N1991" s="164"/>
      <c r="O1991" s="164"/>
      <c r="P1991" s="164"/>
      <c r="Q1991" s="164"/>
      <c r="R1991" s="164"/>
    </row>
    <row r="1992" spans="13:18" ht="15" customHeight="1" x14ac:dyDescent="1">
      <c r="M1992" s="164"/>
      <c r="N1992" s="164"/>
      <c r="O1992" s="164"/>
      <c r="P1992" s="164"/>
      <c r="Q1992" s="164"/>
      <c r="R1992" s="164"/>
    </row>
    <row r="1993" spans="13:18" ht="15" customHeight="1" x14ac:dyDescent="1">
      <c r="M1993" s="164"/>
      <c r="N1993" s="164"/>
      <c r="O1993" s="164"/>
      <c r="P1993" s="164"/>
      <c r="Q1993" s="164"/>
      <c r="R1993" s="164"/>
    </row>
    <row r="1994" spans="13:18" ht="15" customHeight="1" x14ac:dyDescent="1">
      <c r="M1994" s="164"/>
      <c r="N1994" s="164"/>
      <c r="O1994" s="164"/>
      <c r="P1994" s="164"/>
      <c r="Q1994" s="164"/>
      <c r="R1994" s="164"/>
    </row>
    <row r="1996" spans="13:18" ht="15" customHeight="1" x14ac:dyDescent="1">
      <c r="M1996" s="162"/>
      <c r="N1996" s="162"/>
    </row>
    <row r="1997" spans="13:18" ht="15" customHeight="1" x14ac:dyDescent="1">
      <c r="M1997" s="163"/>
      <c r="N1997" s="163"/>
      <c r="O1997" s="163"/>
      <c r="P1997" s="163"/>
      <c r="Q1997" s="163"/>
      <c r="R1997" s="163"/>
    </row>
    <row r="1998" spans="13:18" ht="15" customHeight="1" x14ac:dyDescent="1">
      <c r="M1998" s="164"/>
      <c r="N1998" s="164"/>
      <c r="O1998" s="164"/>
      <c r="P1998" s="164"/>
      <c r="Q1998" s="164"/>
      <c r="R1998" s="164"/>
    </row>
    <row r="1999" spans="13:18" ht="15" customHeight="1" x14ac:dyDescent="1">
      <c r="M1999" s="164"/>
      <c r="N1999" s="164"/>
      <c r="O1999" s="164"/>
      <c r="P1999" s="164"/>
      <c r="Q1999" s="164"/>
      <c r="R1999" s="164"/>
    </row>
    <row r="2000" spans="13:18" ht="15" customHeight="1" x14ac:dyDescent="1">
      <c r="M2000" s="164"/>
      <c r="N2000" s="164"/>
      <c r="O2000" s="164"/>
      <c r="P2000" s="164"/>
      <c r="Q2000" s="164"/>
      <c r="R2000" s="164"/>
    </row>
    <row r="2001" spans="13:18" ht="15" customHeight="1" x14ac:dyDescent="1">
      <c r="M2001" s="164"/>
      <c r="N2001" s="164"/>
      <c r="O2001" s="164"/>
      <c r="P2001" s="164"/>
      <c r="Q2001" s="164"/>
      <c r="R2001" s="164"/>
    </row>
    <row r="2002" spans="13:18" ht="15" customHeight="1" x14ac:dyDescent="1">
      <c r="M2002" s="164"/>
      <c r="N2002" s="164"/>
      <c r="O2002" s="164"/>
      <c r="P2002" s="164"/>
      <c r="Q2002" s="164"/>
      <c r="R2002" s="164"/>
    </row>
    <row r="2004" spans="13:18" ht="15" customHeight="1" x14ac:dyDescent="1">
      <c r="M2004" s="162"/>
      <c r="N2004" s="162"/>
    </row>
    <row r="2005" spans="13:18" ht="15" customHeight="1" x14ac:dyDescent="1">
      <c r="M2005" s="163"/>
      <c r="N2005" s="163"/>
      <c r="O2005" s="163"/>
      <c r="P2005" s="163"/>
      <c r="Q2005" s="163"/>
      <c r="R2005" s="163"/>
    </row>
    <row r="2006" spans="13:18" ht="15" customHeight="1" x14ac:dyDescent="1">
      <c r="M2006" s="164"/>
      <c r="N2006" s="164"/>
      <c r="O2006" s="164"/>
      <c r="P2006" s="164"/>
      <c r="Q2006" s="164"/>
      <c r="R2006" s="164"/>
    </row>
    <row r="2007" spans="13:18" ht="15" customHeight="1" x14ac:dyDescent="1">
      <c r="M2007" s="164"/>
      <c r="N2007" s="164"/>
      <c r="O2007" s="164"/>
      <c r="P2007" s="164"/>
      <c r="Q2007" s="164"/>
      <c r="R2007" s="164"/>
    </row>
    <row r="2008" spans="13:18" ht="15" customHeight="1" x14ac:dyDescent="1">
      <c r="M2008" s="164"/>
      <c r="N2008" s="164"/>
      <c r="O2008" s="164"/>
      <c r="P2008" s="164"/>
      <c r="Q2008" s="164"/>
      <c r="R2008" s="164"/>
    </row>
    <row r="2009" spans="13:18" ht="15" customHeight="1" x14ac:dyDescent="1">
      <c r="M2009" s="164"/>
      <c r="N2009" s="164"/>
      <c r="O2009" s="164"/>
      <c r="P2009" s="164"/>
      <c r="Q2009" s="164"/>
      <c r="R2009" s="164"/>
    </row>
    <row r="2010" spans="13:18" ht="15" customHeight="1" x14ac:dyDescent="1">
      <c r="M2010" s="164"/>
      <c r="N2010" s="164"/>
      <c r="O2010" s="164"/>
      <c r="P2010" s="164"/>
      <c r="Q2010" s="164"/>
      <c r="R2010" s="164"/>
    </row>
    <row r="2012" spans="13:18" ht="15" customHeight="1" x14ac:dyDescent="1">
      <c r="M2012" s="162"/>
      <c r="N2012" s="162"/>
    </row>
    <row r="2013" spans="13:18" ht="15" customHeight="1" x14ac:dyDescent="1">
      <c r="M2013" s="163"/>
      <c r="N2013" s="163"/>
      <c r="O2013" s="163"/>
      <c r="P2013" s="163"/>
      <c r="Q2013" s="163"/>
      <c r="R2013" s="163"/>
    </row>
    <row r="2014" spans="13:18" ht="15" customHeight="1" x14ac:dyDescent="1">
      <c r="M2014" s="164"/>
      <c r="N2014" s="164"/>
      <c r="O2014" s="164"/>
      <c r="P2014" s="164"/>
      <c r="Q2014" s="164"/>
      <c r="R2014" s="164"/>
    </row>
    <row r="2015" spans="13:18" ht="15" customHeight="1" x14ac:dyDescent="1">
      <c r="M2015" s="164"/>
      <c r="N2015" s="164"/>
      <c r="O2015" s="164"/>
      <c r="P2015" s="164"/>
      <c r="Q2015" s="164"/>
      <c r="R2015" s="164"/>
    </row>
    <row r="2016" spans="13:18" ht="15" customHeight="1" x14ac:dyDescent="1">
      <c r="M2016" s="164"/>
      <c r="N2016" s="164"/>
      <c r="O2016" s="164"/>
      <c r="P2016" s="164"/>
      <c r="Q2016" s="164"/>
      <c r="R2016" s="164"/>
    </row>
    <row r="2017" spans="13:18" ht="15" customHeight="1" x14ac:dyDescent="1">
      <c r="M2017" s="164"/>
      <c r="N2017" s="164"/>
      <c r="O2017" s="164"/>
      <c r="P2017" s="164"/>
      <c r="Q2017" s="164"/>
      <c r="R2017" s="164"/>
    </row>
    <row r="2018" spans="13:18" ht="15" customHeight="1" x14ac:dyDescent="1">
      <c r="M2018" s="164"/>
      <c r="N2018" s="164"/>
      <c r="O2018" s="164"/>
      <c r="P2018" s="164"/>
      <c r="Q2018" s="164"/>
      <c r="R2018" s="164"/>
    </row>
    <row r="2019" spans="13:18" ht="15" customHeight="1" x14ac:dyDescent="1">
      <c r="M2019" s="164"/>
      <c r="N2019" s="164"/>
      <c r="O2019" s="164"/>
      <c r="P2019" s="164"/>
      <c r="Q2019" s="164"/>
      <c r="R2019" s="164"/>
    </row>
    <row r="2020" spans="13:18" ht="15" customHeight="1" x14ac:dyDescent="1">
      <c r="M2020" s="164"/>
      <c r="N2020" s="164"/>
      <c r="O2020" s="164"/>
      <c r="P2020" s="164"/>
      <c r="Q2020" s="164"/>
      <c r="R2020" s="164"/>
    </row>
    <row r="2021" spans="13:18" ht="15" customHeight="1" x14ac:dyDescent="1">
      <c r="M2021" s="164"/>
      <c r="N2021" s="164"/>
      <c r="O2021" s="164"/>
      <c r="P2021" s="164"/>
      <c r="Q2021" s="164"/>
      <c r="R2021" s="164"/>
    </row>
    <row r="2022" spans="13:18" ht="15" customHeight="1" x14ac:dyDescent="1">
      <c r="M2022" s="164"/>
      <c r="N2022" s="164"/>
      <c r="O2022" s="164"/>
      <c r="P2022" s="164"/>
      <c r="Q2022" s="164"/>
      <c r="R2022" s="164"/>
    </row>
    <row r="2023" spans="13:18" ht="15" customHeight="1" x14ac:dyDescent="1">
      <c r="M2023" s="164"/>
      <c r="N2023" s="164"/>
      <c r="O2023" s="164"/>
      <c r="P2023" s="164"/>
      <c r="Q2023" s="164"/>
      <c r="R2023" s="164"/>
    </row>
    <row r="2024" spans="13:18" ht="15" customHeight="1" x14ac:dyDescent="1">
      <c r="M2024" s="164"/>
      <c r="N2024" s="164"/>
      <c r="O2024" s="164"/>
      <c r="P2024" s="164"/>
      <c r="Q2024" s="164"/>
      <c r="R2024" s="164"/>
    </row>
    <row r="2025" spans="13:18" ht="15" customHeight="1" x14ac:dyDescent="1">
      <c r="M2025" s="164"/>
      <c r="N2025" s="164"/>
      <c r="O2025" s="164"/>
      <c r="P2025" s="164"/>
      <c r="Q2025" s="164"/>
      <c r="R2025" s="164"/>
    </row>
    <row r="2026" spans="13:18" ht="15" customHeight="1" x14ac:dyDescent="1">
      <c r="M2026" s="164"/>
      <c r="N2026" s="164"/>
      <c r="O2026" s="164"/>
      <c r="P2026" s="164"/>
      <c r="Q2026" s="164"/>
      <c r="R2026" s="164"/>
    </row>
    <row r="2027" spans="13:18" ht="15" customHeight="1" x14ac:dyDescent="1">
      <c r="M2027" s="164"/>
      <c r="N2027" s="164"/>
      <c r="O2027" s="164"/>
      <c r="P2027" s="164"/>
      <c r="Q2027" s="164"/>
      <c r="R2027" s="164"/>
    </row>
    <row r="2028" spans="13:18" ht="15" customHeight="1" x14ac:dyDescent="1">
      <c r="M2028" s="164"/>
      <c r="N2028" s="164"/>
      <c r="O2028" s="164"/>
      <c r="P2028" s="164"/>
      <c r="Q2028" s="164"/>
      <c r="R2028" s="164"/>
    </row>
    <row r="2029" spans="13:18" ht="15" customHeight="1" x14ac:dyDescent="1">
      <c r="M2029" s="164"/>
      <c r="N2029" s="164"/>
      <c r="O2029" s="164"/>
      <c r="P2029" s="164"/>
      <c r="Q2029" s="164"/>
      <c r="R2029" s="164"/>
    </row>
    <row r="2030" spans="13:18" ht="15" customHeight="1" x14ac:dyDescent="1">
      <c r="M2030" s="164"/>
      <c r="N2030" s="164"/>
      <c r="O2030" s="164"/>
      <c r="P2030" s="164"/>
      <c r="Q2030" s="164"/>
      <c r="R2030" s="164"/>
    </row>
    <row r="2031" spans="13:18" ht="15" customHeight="1" x14ac:dyDescent="1">
      <c r="M2031" s="164"/>
      <c r="N2031" s="164"/>
      <c r="O2031" s="164"/>
      <c r="P2031" s="164"/>
      <c r="Q2031" s="164"/>
      <c r="R2031" s="164"/>
    </row>
    <row r="2032" spans="13:18" ht="15" customHeight="1" x14ac:dyDescent="1">
      <c r="M2032" s="164"/>
      <c r="N2032" s="164"/>
      <c r="O2032" s="164"/>
      <c r="P2032" s="164"/>
      <c r="Q2032" s="164"/>
      <c r="R2032" s="164"/>
    </row>
    <row r="2033" spans="13:18" ht="15" customHeight="1" x14ac:dyDescent="1">
      <c r="M2033" s="164"/>
      <c r="N2033" s="164"/>
      <c r="O2033" s="164"/>
      <c r="P2033" s="164"/>
      <c r="Q2033" s="164"/>
      <c r="R2033" s="164"/>
    </row>
    <row r="2034" spans="13:18" ht="15" customHeight="1" x14ac:dyDescent="1">
      <c r="M2034" s="164"/>
      <c r="N2034" s="164"/>
      <c r="O2034" s="164"/>
      <c r="P2034" s="164"/>
      <c r="Q2034" s="164"/>
      <c r="R2034" s="164"/>
    </row>
    <row r="2035" spans="13:18" ht="15" customHeight="1" x14ac:dyDescent="1">
      <c r="M2035" s="164"/>
      <c r="N2035" s="164"/>
      <c r="O2035" s="164"/>
      <c r="P2035" s="164"/>
      <c r="Q2035" s="164"/>
      <c r="R2035" s="164"/>
    </row>
    <row r="2036" spans="13:18" ht="15" customHeight="1" x14ac:dyDescent="1">
      <c r="M2036" s="164"/>
      <c r="N2036" s="164"/>
      <c r="O2036" s="164"/>
      <c r="P2036" s="164"/>
      <c r="Q2036" s="164"/>
      <c r="R2036" s="164"/>
    </row>
    <row r="2037" spans="13:18" ht="15" customHeight="1" x14ac:dyDescent="1">
      <c r="M2037" s="164"/>
      <c r="N2037" s="164"/>
      <c r="O2037" s="164"/>
      <c r="P2037" s="164"/>
      <c r="Q2037" s="164"/>
      <c r="R2037" s="164"/>
    </row>
    <row r="2038" spans="13:18" ht="15" customHeight="1" x14ac:dyDescent="1">
      <c r="M2038" s="164"/>
      <c r="N2038" s="164"/>
      <c r="O2038" s="164"/>
      <c r="P2038" s="164"/>
      <c r="Q2038" s="164"/>
      <c r="R2038" s="164"/>
    </row>
    <row r="2039" spans="13:18" ht="15" customHeight="1" x14ac:dyDescent="1">
      <c r="M2039" s="164"/>
      <c r="N2039" s="164"/>
      <c r="O2039" s="164"/>
      <c r="P2039" s="164"/>
      <c r="Q2039" s="164"/>
      <c r="R2039" s="164"/>
    </row>
    <row r="2040" spans="13:18" ht="15" customHeight="1" x14ac:dyDescent="1">
      <c r="M2040" s="164"/>
      <c r="N2040" s="164"/>
      <c r="O2040" s="164"/>
      <c r="P2040" s="164"/>
      <c r="Q2040" s="164"/>
      <c r="R2040" s="164"/>
    </row>
    <row r="2041" spans="13:18" ht="15" customHeight="1" x14ac:dyDescent="1">
      <c r="M2041" s="164"/>
      <c r="N2041" s="164"/>
      <c r="O2041" s="164"/>
      <c r="P2041" s="164"/>
      <c r="Q2041" s="164"/>
      <c r="R2041" s="164"/>
    </row>
    <row r="2042" spans="13:18" ht="15" customHeight="1" x14ac:dyDescent="1">
      <c r="M2042" s="164"/>
      <c r="N2042" s="164"/>
      <c r="O2042" s="164"/>
      <c r="P2042" s="164"/>
      <c r="Q2042" s="164"/>
      <c r="R2042" s="164"/>
    </row>
    <row r="2043" spans="13:18" ht="15" customHeight="1" x14ac:dyDescent="1">
      <c r="M2043" s="164"/>
      <c r="N2043" s="164"/>
      <c r="O2043" s="164"/>
      <c r="P2043" s="164"/>
      <c r="Q2043" s="164"/>
      <c r="R2043" s="164"/>
    </row>
    <row r="2044" spans="13:18" ht="15" customHeight="1" x14ac:dyDescent="1">
      <c r="M2044" s="164"/>
      <c r="N2044" s="164"/>
      <c r="O2044" s="164"/>
      <c r="P2044" s="164"/>
      <c r="Q2044" s="164"/>
      <c r="R2044" s="164"/>
    </row>
    <row r="2045" spans="13:18" ht="15" customHeight="1" x14ac:dyDescent="1">
      <c r="M2045" s="164"/>
      <c r="N2045" s="164"/>
      <c r="O2045" s="164"/>
      <c r="P2045" s="164"/>
      <c r="Q2045" s="164"/>
      <c r="R2045" s="164"/>
    </row>
    <row r="2046" spans="13:18" ht="15" customHeight="1" x14ac:dyDescent="1">
      <c r="M2046" s="164"/>
      <c r="N2046" s="164"/>
      <c r="O2046" s="164"/>
      <c r="P2046" s="164"/>
      <c r="Q2046" s="164"/>
      <c r="R2046" s="164"/>
    </row>
    <row r="2047" spans="13:18" ht="15" customHeight="1" x14ac:dyDescent="1">
      <c r="M2047" s="164"/>
      <c r="N2047" s="164"/>
      <c r="O2047" s="164"/>
      <c r="P2047" s="164"/>
      <c r="Q2047" s="164"/>
      <c r="R2047" s="164"/>
    </row>
    <row r="2048" spans="13:18" ht="15" customHeight="1" x14ac:dyDescent="1">
      <c r="M2048" s="164"/>
      <c r="N2048" s="164"/>
      <c r="O2048" s="164"/>
      <c r="P2048" s="164"/>
      <c r="Q2048" s="164"/>
      <c r="R2048" s="164"/>
    </row>
    <row r="2049" spans="13:18" ht="15" customHeight="1" x14ac:dyDescent="1">
      <c r="M2049" s="164"/>
      <c r="N2049" s="164"/>
      <c r="O2049" s="164"/>
      <c r="P2049" s="164"/>
      <c r="Q2049" s="164"/>
      <c r="R2049" s="164"/>
    </row>
    <row r="2050" spans="13:18" ht="15" customHeight="1" x14ac:dyDescent="1">
      <c r="M2050" s="164"/>
      <c r="N2050" s="164"/>
      <c r="O2050" s="164"/>
      <c r="P2050" s="164"/>
      <c r="Q2050" s="164"/>
      <c r="R2050" s="164"/>
    </row>
    <row r="2051" spans="13:18" ht="15" customHeight="1" x14ac:dyDescent="1">
      <c r="M2051" s="164"/>
      <c r="N2051" s="164"/>
      <c r="O2051" s="164"/>
      <c r="P2051" s="164"/>
      <c r="Q2051" s="164"/>
      <c r="R2051" s="164"/>
    </row>
    <row r="2052" spans="13:18" ht="15" customHeight="1" x14ac:dyDescent="1">
      <c r="M2052" s="164"/>
      <c r="N2052" s="164"/>
      <c r="O2052" s="164"/>
      <c r="P2052" s="164"/>
      <c r="Q2052" s="164"/>
      <c r="R2052" s="164"/>
    </row>
    <row r="2053" spans="13:18" ht="15" customHeight="1" x14ac:dyDescent="1">
      <c r="M2053" s="164"/>
      <c r="N2053" s="164"/>
      <c r="O2053" s="164"/>
      <c r="P2053" s="164"/>
      <c r="Q2053" s="164"/>
      <c r="R2053" s="164"/>
    </row>
    <row r="2054" spans="13:18" ht="15" customHeight="1" x14ac:dyDescent="1">
      <c r="M2054" s="164"/>
      <c r="N2054" s="164"/>
      <c r="O2054" s="164"/>
      <c r="P2054" s="164"/>
      <c r="Q2054" s="164"/>
      <c r="R2054" s="164"/>
    </row>
    <row r="2055" spans="13:18" ht="15" customHeight="1" x14ac:dyDescent="1">
      <c r="M2055" s="164"/>
      <c r="N2055" s="164"/>
      <c r="O2055" s="164"/>
      <c r="P2055" s="164"/>
      <c r="Q2055" s="164"/>
      <c r="R2055" s="164"/>
    </row>
    <row r="2056" spans="13:18" ht="15" customHeight="1" x14ac:dyDescent="1">
      <c r="M2056" s="164"/>
      <c r="N2056" s="164"/>
      <c r="O2056" s="164"/>
      <c r="P2056" s="164"/>
      <c r="Q2056" s="164"/>
      <c r="R2056" s="164"/>
    </row>
    <row r="2057" spans="13:18" ht="15" customHeight="1" x14ac:dyDescent="1">
      <c r="M2057" s="164"/>
      <c r="N2057" s="164"/>
      <c r="O2057" s="164"/>
      <c r="P2057" s="164"/>
      <c r="Q2057" s="164"/>
      <c r="R2057" s="164"/>
    </row>
    <row r="2058" spans="13:18" ht="15" customHeight="1" x14ac:dyDescent="1">
      <c r="M2058" s="164"/>
      <c r="N2058" s="164"/>
      <c r="O2058" s="164"/>
      <c r="P2058" s="164"/>
      <c r="Q2058" s="164"/>
      <c r="R2058" s="164"/>
    </row>
    <row r="2059" spans="13:18" ht="15" customHeight="1" x14ac:dyDescent="1">
      <c r="M2059" s="164"/>
      <c r="N2059" s="164"/>
      <c r="O2059" s="164"/>
      <c r="P2059" s="164"/>
      <c r="Q2059" s="164"/>
      <c r="R2059" s="164"/>
    </row>
    <row r="2060" spans="13:18" ht="15" customHeight="1" x14ac:dyDescent="1">
      <c r="M2060" s="164"/>
      <c r="N2060" s="164"/>
      <c r="O2060" s="164"/>
      <c r="P2060" s="164"/>
      <c r="Q2060" s="164"/>
      <c r="R2060" s="164"/>
    </row>
    <row r="2061" spans="13:18" ht="15" customHeight="1" x14ac:dyDescent="1">
      <c r="M2061" s="164"/>
      <c r="N2061" s="164"/>
      <c r="O2061" s="164"/>
      <c r="P2061" s="164"/>
      <c r="Q2061" s="164"/>
      <c r="R2061" s="164"/>
    </row>
    <row r="2062" spans="13:18" ht="15" customHeight="1" x14ac:dyDescent="1">
      <c r="M2062" s="164"/>
      <c r="N2062" s="164"/>
      <c r="O2062" s="164"/>
      <c r="P2062" s="164"/>
      <c r="Q2062" s="164"/>
      <c r="R2062" s="164"/>
    </row>
    <row r="2063" spans="13:18" ht="15" customHeight="1" x14ac:dyDescent="1">
      <c r="M2063" s="164"/>
      <c r="N2063" s="164"/>
      <c r="O2063" s="164"/>
      <c r="P2063" s="164"/>
      <c r="Q2063" s="164"/>
      <c r="R2063" s="164"/>
    </row>
    <row r="2064" spans="13:18" ht="15" customHeight="1" x14ac:dyDescent="1">
      <c r="M2064" s="164"/>
      <c r="N2064" s="164"/>
      <c r="O2064" s="164"/>
      <c r="P2064" s="164"/>
      <c r="Q2064" s="164"/>
      <c r="R2064" s="164"/>
    </row>
    <row r="2065" spans="13:18" ht="15" customHeight="1" x14ac:dyDescent="1">
      <c r="M2065" s="164"/>
      <c r="N2065" s="164"/>
      <c r="O2065" s="164"/>
      <c r="P2065" s="164"/>
      <c r="Q2065" s="164"/>
      <c r="R2065" s="164"/>
    </row>
    <row r="2066" spans="13:18" ht="15" customHeight="1" x14ac:dyDescent="1">
      <c r="M2066" s="164"/>
      <c r="N2066" s="164"/>
      <c r="O2066" s="164"/>
      <c r="P2066" s="164"/>
      <c r="Q2066" s="164"/>
      <c r="R2066" s="164"/>
    </row>
    <row r="2067" spans="13:18" ht="15" customHeight="1" x14ac:dyDescent="1">
      <c r="M2067" s="164"/>
      <c r="N2067" s="164"/>
      <c r="O2067" s="164"/>
      <c r="P2067" s="164"/>
      <c r="Q2067" s="164"/>
      <c r="R2067" s="164"/>
    </row>
    <row r="2068" spans="13:18" ht="15" customHeight="1" x14ac:dyDescent="1">
      <c r="M2068" s="164"/>
      <c r="N2068" s="164"/>
      <c r="O2068" s="164"/>
      <c r="P2068" s="164"/>
      <c r="Q2068" s="164"/>
      <c r="R2068" s="164"/>
    </row>
    <row r="2069" spans="13:18" ht="15" customHeight="1" x14ac:dyDescent="1">
      <c r="M2069" s="164"/>
      <c r="N2069" s="164"/>
      <c r="O2069" s="164"/>
      <c r="P2069" s="164"/>
      <c r="Q2069" s="164"/>
      <c r="R2069" s="164"/>
    </row>
    <row r="2071" spans="13:18" ht="15" customHeight="1" x14ac:dyDescent="1">
      <c r="M2071" s="162"/>
      <c r="N2071" s="162"/>
    </row>
    <row r="2072" spans="13:18" ht="15" customHeight="1" x14ac:dyDescent="1">
      <c r="M2072" s="163"/>
      <c r="N2072" s="163"/>
      <c r="O2072" s="163"/>
      <c r="P2072" s="163"/>
      <c r="Q2072" s="163"/>
      <c r="R2072" s="163"/>
    </row>
    <row r="2073" spans="13:18" ht="15" customHeight="1" x14ac:dyDescent="1">
      <c r="M2073" s="164"/>
      <c r="N2073" s="164"/>
      <c r="O2073" s="164"/>
      <c r="P2073" s="164"/>
      <c r="Q2073" s="164"/>
      <c r="R2073" s="164"/>
    </row>
    <row r="2074" spans="13:18" ht="15" customHeight="1" x14ac:dyDescent="1">
      <c r="M2074" s="164"/>
      <c r="N2074" s="164"/>
      <c r="O2074" s="164"/>
      <c r="P2074" s="164"/>
      <c r="Q2074" s="164"/>
      <c r="R2074" s="164"/>
    </row>
    <row r="2075" spans="13:18" ht="15" customHeight="1" x14ac:dyDescent="1">
      <c r="M2075" s="164"/>
      <c r="N2075" s="164"/>
      <c r="O2075" s="164"/>
      <c r="P2075" s="164"/>
      <c r="Q2075" s="164"/>
      <c r="R2075" s="164"/>
    </row>
    <row r="2076" spans="13:18" ht="15" customHeight="1" x14ac:dyDescent="1">
      <c r="M2076" s="164"/>
      <c r="N2076" s="164"/>
      <c r="O2076" s="164"/>
      <c r="P2076" s="164"/>
      <c r="Q2076" s="164"/>
      <c r="R2076" s="164"/>
    </row>
    <row r="2077" spans="13:18" ht="15" customHeight="1" x14ac:dyDescent="1">
      <c r="M2077" s="164"/>
      <c r="N2077" s="164"/>
      <c r="O2077" s="164"/>
      <c r="P2077" s="164"/>
      <c r="Q2077" s="164"/>
      <c r="R2077" s="164"/>
    </row>
    <row r="2078" spans="13:18" ht="15" customHeight="1" x14ac:dyDescent="1">
      <c r="M2078" s="164"/>
      <c r="N2078" s="164"/>
      <c r="O2078" s="164"/>
      <c r="P2078" s="164"/>
      <c r="Q2078" s="164"/>
      <c r="R2078" s="164"/>
    </row>
    <row r="2079" spans="13:18" ht="15" customHeight="1" x14ac:dyDescent="1">
      <c r="M2079" s="164"/>
      <c r="N2079" s="164"/>
      <c r="O2079" s="164"/>
      <c r="P2079" s="164"/>
      <c r="Q2079" s="164"/>
      <c r="R2079" s="164"/>
    </row>
    <row r="2080" spans="13:18" ht="15" customHeight="1" x14ac:dyDescent="1">
      <c r="M2080" s="164"/>
      <c r="N2080" s="164"/>
      <c r="O2080" s="164"/>
      <c r="P2080" s="164"/>
      <c r="Q2080" s="164"/>
      <c r="R2080" s="164"/>
    </row>
    <row r="2081" spans="13:18" ht="15" customHeight="1" x14ac:dyDescent="1">
      <c r="M2081" s="164"/>
      <c r="N2081" s="164"/>
      <c r="O2081" s="164"/>
      <c r="P2081" s="164"/>
      <c r="Q2081" s="164"/>
      <c r="R2081" s="164"/>
    </row>
    <row r="2082" spans="13:18" ht="15" customHeight="1" x14ac:dyDescent="1">
      <c r="M2082" s="164"/>
      <c r="N2082" s="164"/>
      <c r="O2082" s="164"/>
      <c r="P2082" s="164"/>
      <c r="Q2082" s="164"/>
      <c r="R2082" s="164"/>
    </row>
    <row r="2083" spans="13:18" ht="15" customHeight="1" x14ac:dyDescent="1">
      <c r="M2083" s="164"/>
      <c r="N2083" s="164"/>
      <c r="O2083" s="164"/>
      <c r="P2083" s="164"/>
      <c r="Q2083" s="164"/>
      <c r="R2083" s="164"/>
    </row>
    <row r="2084" spans="13:18" ht="15" customHeight="1" x14ac:dyDescent="1">
      <c r="M2084" s="164"/>
      <c r="N2084" s="164"/>
      <c r="O2084" s="164"/>
      <c r="P2084" s="164"/>
      <c r="Q2084" s="164"/>
      <c r="R2084" s="164"/>
    </row>
    <row r="2085" spans="13:18" ht="15" customHeight="1" x14ac:dyDescent="1">
      <c r="M2085" s="164"/>
      <c r="N2085" s="164"/>
      <c r="O2085" s="164"/>
      <c r="P2085" s="164"/>
      <c r="Q2085" s="164"/>
      <c r="R2085" s="164"/>
    </row>
    <row r="2086" spans="13:18" ht="15" customHeight="1" x14ac:dyDescent="1">
      <c r="M2086" s="164"/>
      <c r="N2086" s="164"/>
      <c r="O2086" s="164"/>
      <c r="P2086" s="164"/>
      <c r="Q2086" s="164"/>
      <c r="R2086" s="164"/>
    </row>
    <row r="2087" spans="13:18" ht="15" customHeight="1" x14ac:dyDescent="1">
      <c r="M2087" s="164"/>
      <c r="N2087" s="164"/>
      <c r="O2087" s="164"/>
      <c r="P2087" s="164"/>
      <c r="Q2087" s="164"/>
      <c r="R2087" s="164"/>
    </row>
    <row r="2088" spans="13:18" ht="15" customHeight="1" x14ac:dyDescent="1">
      <c r="M2088" s="164"/>
      <c r="N2088" s="164"/>
      <c r="O2088" s="164"/>
      <c r="P2088" s="164"/>
      <c r="Q2088" s="164"/>
      <c r="R2088" s="164"/>
    </row>
    <row r="2089" spans="13:18" ht="15" customHeight="1" x14ac:dyDescent="1">
      <c r="M2089" s="164"/>
      <c r="N2089" s="164"/>
      <c r="O2089" s="164"/>
      <c r="P2089" s="164"/>
      <c r="Q2089" s="164"/>
      <c r="R2089" s="164"/>
    </row>
    <row r="2090" spans="13:18" ht="15" customHeight="1" x14ac:dyDescent="1">
      <c r="M2090" s="164"/>
      <c r="N2090" s="164"/>
      <c r="O2090" s="164"/>
      <c r="P2090" s="164"/>
      <c r="Q2090" s="164"/>
      <c r="R2090" s="164"/>
    </row>
    <row r="2091" spans="13:18" ht="15" customHeight="1" x14ac:dyDescent="1">
      <c r="M2091" s="164"/>
      <c r="N2091" s="164"/>
      <c r="O2091" s="164"/>
      <c r="P2091" s="164"/>
      <c r="Q2091" s="164"/>
      <c r="R2091" s="164"/>
    </row>
    <row r="2092" spans="13:18" ht="15" customHeight="1" x14ac:dyDescent="1">
      <c r="M2092" s="164"/>
      <c r="N2092" s="164"/>
      <c r="O2092" s="164"/>
      <c r="P2092" s="164"/>
      <c r="Q2092" s="164"/>
      <c r="R2092" s="164"/>
    </row>
    <row r="2093" spans="13:18" ht="15" customHeight="1" x14ac:dyDescent="1">
      <c r="M2093" s="164"/>
      <c r="N2093" s="164"/>
      <c r="O2093" s="164"/>
      <c r="P2093" s="164"/>
      <c r="Q2093" s="164"/>
      <c r="R2093" s="164"/>
    </row>
    <row r="2094" spans="13:18" ht="15" customHeight="1" x14ac:dyDescent="1">
      <c r="M2094" s="164"/>
      <c r="N2094" s="164"/>
      <c r="O2094" s="164"/>
      <c r="P2094" s="164"/>
      <c r="Q2094" s="164"/>
      <c r="R2094" s="164"/>
    </row>
    <row r="2095" spans="13:18" ht="15" customHeight="1" x14ac:dyDescent="1">
      <c r="M2095" s="164"/>
      <c r="N2095" s="164"/>
      <c r="O2095" s="164"/>
      <c r="P2095" s="164"/>
      <c r="Q2095" s="164"/>
      <c r="R2095" s="164"/>
    </row>
    <row r="2096" spans="13:18" ht="15" customHeight="1" x14ac:dyDescent="1">
      <c r="M2096" s="164"/>
      <c r="N2096" s="164"/>
      <c r="O2096" s="164"/>
      <c r="P2096" s="164"/>
      <c r="Q2096" s="164"/>
      <c r="R2096" s="164"/>
    </row>
    <row r="2098" spans="13:18" ht="15" customHeight="1" x14ac:dyDescent="1">
      <c r="M2098" s="162"/>
      <c r="N2098" s="162"/>
    </row>
    <row r="2099" spans="13:18" ht="15" customHeight="1" x14ac:dyDescent="1">
      <c r="M2099" s="163"/>
      <c r="N2099" s="163"/>
      <c r="O2099" s="163"/>
      <c r="P2099" s="163"/>
      <c r="Q2099" s="163"/>
      <c r="R2099" s="163"/>
    </row>
    <row r="2100" spans="13:18" ht="15" customHeight="1" x14ac:dyDescent="1">
      <c r="M2100" s="164"/>
      <c r="N2100" s="164"/>
      <c r="O2100" s="164"/>
      <c r="P2100" s="164"/>
      <c r="Q2100" s="164"/>
      <c r="R2100" s="164"/>
    </row>
    <row r="2101" spans="13:18" ht="15" customHeight="1" x14ac:dyDescent="1">
      <c r="M2101" s="164"/>
      <c r="N2101" s="164"/>
      <c r="O2101" s="164"/>
      <c r="P2101" s="164"/>
      <c r="Q2101" s="164"/>
      <c r="R2101" s="164"/>
    </row>
    <row r="2102" spans="13:18" ht="15" customHeight="1" x14ac:dyDescent="1">
      <c r="M2102" s="164"/>
      <c r="N2102" s="164"/>
      <c r="O2102" s="164"/>
      <c r="P2102" s="164"/>
      <c r="Q2102" s="164"/>
      <c r="R2102" s="164"/>
    </row>
    <row r="2103" spans="13:18" ht="15" customHeight="1" x14ac:dyDescent="1">
      <c r="M2103" s="164"/>
      <c r="N2103" s="164"/>
      <c r="O2103" s="164"/>
      <c r="P2103" s="164"/>
      <c r="Q2103" s="164"/>
      <c r="R2103" s="164"/>
    </row>
    <row r="2104" spans="13:18" ht="15" customHeight="1" x14ac:dyDescent="1">
      <c r="M2104" s="164"/>
      <c r="N2104" s="164"/>
      <c r="O2104" s="164"/>
      <c r="P2104" s="164"/>
      <c r="Q2104" s="164"/>
      <c r="R2104" s="164"/>
    </row>
    <row r="2105" spans="13:18" ht="15" customHeight="1" x14ac:dyDescent="1">
      <c r="M2105" s="164"/>
      <c r="N2105" s="164"/>
      <c r="O2105" s="164"/>
      <c r="P2105" s="164"/>
      <c r="Q2105" s="164"/>
      <c r="R2105" s="164"/>
    </row>
    <row r="2106" spans="13:18" ht="15" customHeight="1" x14ac:dyDescent="1">
      <c r="M2106" s="164"/>
      <c r="N2106" s="164"/>
      <c r="O2106" s="164"/>
      <c r="P2106" s="164"/>
      <c r="Q2106" s="164"/>
      <c r="R2106" s="164"/>
    </row>
    <row r="2107" spans="13:18" ht="15" customHeight="1" x14ac:dyDescent="1">
      <c r="M2107" s="164"/>
      <c r="N2107" s="164"/>
      <c r="O2107" s="164"/>
      <c r="P2107" s="164"/>
      <c r="Q2107" s="164"/>
      <c r="R2107" s="164"/>
    </row>
    <row r="2108" spans="13:18" ht="15" customHeight="1" x14ac:dyDescent="1">
      <c r="M2108" s="164"/>
      <c r="N2108" s="164"/>
      <c r="O2108" s="164"/>
      <c r="P2108" s="164"/>
      <c r="Q2108" s="164"/>
      <c r="R2108" s="164"/>
    </row>
    <row r="2109" spans="13:18" ht="15" customHeight="1" x14ac:dyDescent="1">
      <c r="M2109" s="164"/>
      <c r="N2109" s="164"/>
      <c r="O2109" s="164"/>
      <c r="P2109" s="164"/>
      <c r="Q2109" s="164"/>
      <c r="R2109" s="164"/>
    </row>
    <row r="2110" spans="13:18" ht="15" customHeight="1" x14ac:dyDescent="1">
      <c r="M2110" s="164"/>
      <c r="N2110" s="164"/>
      <c r="O2110" s="164"/>
      <c r="P2110" s="164"/>
      <c r="Q2110" s="164"/>
      <c r="R2110" s="164"/>
    </row>
    <row r="2111" spans="13:18" ht="15" customHeight="1" x14ac:dyDescent="1">
      <c r="M2111" s="164"/>
      <c r="N2111" s="164"/>
      <c r="O2111" s="164"/>
      <c r="P2111" s="164"/>
      <c r="Q2111" s="164"/>
      <c r="R2111" s="164"/>
    </row>
    <row r="2112" spans="13:18" ht="15" customHeight="1" x14ac:dyDescent="1">
      <c r="M2112" s="164"/>
      <c r="N2112" s="164"/>
      <c r="O2112" s="164"/>
      <c r="P2112" s="164"/>
      <c r="Q2112" s="164"/>
      <c r="R2112" s="164"/>
    </row>
    <row r="2113" spans="13:18" ht="15" customHeight="1" x14ac:dyDescent="1">
      <c r="M2113" s="164"/>
      <c r="N2113" s="164"/>
      <c r="O2113" s="164"/>
      <c r="P2113" s="164"/>
      <c r="Q2113" s="164"/>
      <c r="R2113" s="164"/>
    </row>
    <row r="2114" spans="13:18" ht="15" customHeight="1" x14ac:dyDescent="1">
      <c r="M2114" s="164"/>
      <c r="N2114" s="164"/>
      <c r="O2114" s="164"/>
      <c r="P2114" s="164"/>
      <c r="Q2114" s="164"/>
      <c r="R2114" s="164"/>
    </row>
    <row r="2115" spans="13:18" ht="15" customHeight="1" x14ac:dyDescent="1">
      <c r="M2115" s="164"/>
      <c r="N2115" s="164"/>
      <c r="O2115" s="164"/>
      <c r="P2115" s="164"/>
      <c r="Q2115" s="164"/>
      <c r="R2115" s="164"/>
    </row>
    <row r="2116" spans="13:18" ht="15" customHeight="1" x14ac:dyDescent="1">
      <c r="M2116" s="164"/>
      <c r="N2116" s="164"/>
      <c r="O2116" s="164"/>
      <c r="P2116" s="164"/>
      <c r="Q2116" s="164"/>
      <c r="R2116" s="164"/>
    </row>
    <row r="2117" spans="13:18" ht="15" customHeight="1" x14ac:dyDescent="1">
      <c r="M2117" s="164"/>
      <c r="N2117" s="164"/>
      <c r="O2117" s="164"/>
      <c r="P2117" s="164"/>
      <c r="Q2117" s="164"/>
      <c r="R2117" s="164"/>
    </row>
    <row r="2118" spans="13:18" ht="15" customHeight="1" x14ac:dyDescent="1">
      <c r="M2118" s="164"/>
      <c r="N2118" s="164"/>
      <c r="O2118" s="164"/>
      <c r="P2118" s="164"/>
      <c r="Q2118" s="164"/>
      <c r="R2118" s="164"/>
    </row>
    <row r="2119" spans="13:18" ht="15" customHeight="1" x14ac:dyDescent="1">
      <c r="M2119" s="164"/>
      <c r="N2119" s="164"/>
      <c r="O2119" s="164"/>
      <c r="P2119" s="164"/>
      <c r="Q2119" s="164"/>
      <c r="R2119" s="164"/>
    </row>
    <row r="2120" spans="13:18" ht="15" customHeight="1" x14ac:dyDescent="1">
      <c r="M2120" s="164"/>
      <c r="N2120" s="164"/>
      <c r="O2120" s="164"/>
      <c r="P2120" s="164"/>
      <c r="Q2120" s="164"/>
      <c r="R2120" s="164"/>
    </row>
    <row r="2121" spans="13:18" ht="15" customHeight="1" x14ac:dyDescent="1">
      <c r="M2121" s="164"/>
      <c r="N2121" s="164"/>
      <c r="O2121" s="164"/>
      <c r="P2121" s="164"/>
      <c r="Q2121" s="164"/>
      <c r="R2121" s="164"/>
    </row>
    <row r="2122" spans="13:18" ht="15" customHeight="1" x14ac:dyDescent="1">
      <c r="M2122" s="164"/>
      <c r="N2122" s="164"/>
      <c r="O2122" s="164"/>
      <c r="P2122" s="164"/>
      <c r="Q2122" s="164"/>
      <c r="R2122" s="164"/>
    </row>
    <row r="2123" spans="13:18" ht="15" customHeight="1" x14ac:dyDescent="1">
      <c r="M2123" s="164"/>
      <c r="N2123" s="164"/>
      <c r="O2123" s="164"/>
      <c r="P2123" s="164"/>
      <c r="Q2123" s="164"/>
      <c r="R2123" s="164"/>
    </row>
    <row r="2124" spans="13:18" ht="15" customHeight="1" x14ac:dyDescent="1">
      <c r="M2124" s="164"/>
      <c r="N2124" s="164"/>
      <c r="O2124" s="164"/>
      <c r="P2124" s="164"/>
      <c r="Q2124" s="164"/>
      <c r="R2124" s="164"/>
    </row>
    <row r="2125" spans="13:18" ht="15" customHeight="1" x14ac:dyDescent="1">
      <c r="M2125" s="164"/>
      <c r="N2125" s="164"/>
      <c r="O2125" s="164"/>
      <c r="P2125" s="164"/>
      <c r="Q2125" s="164"/>
      <c r="R2125" s="164"/>
    </row>
    <row r="2126" spans="13:18" ht="15" customHeight="1" x14ac:dyDescent="1">
      <c r="M2126" s="164"/>
      <c r="N2126" s="164"/>
      <c r="O2126" s="164"/>
      <c r="P2126" s="164"/>
      <c r="Q2126" s="164"/>
      <c r="R2126" s="164"/>
    </row>
    <row r="2127" spans="13:18" ht="15" customHeight="1" x14ac:dyDescent="1">
      <c r="M2127" s="164"/>
      <c r="N2127" s="164"/>
      <c r="O2127" s="164"/>
      <c r="P2127" s="164"/>
      <c r="Q2127" s="164"/>
      <c r="R2127" s="164"/>
    </row>
    <row r="2128" spans="13:18" ht="15" customHeight="1" x14ac:dyDescent="1">
      <c r="M2128" s="164"/>
      <c r="N2128" s="164"/>
      <c r="O2128" s="164"/>
      <c r="P2128" s="164"/>
      <c r="Q2128" s="164"/>
      <c r="R2128" s="164"/>
    </row>
    <row r="2129" spans="13:18" ht="15" customHeight="1" x14ac:dyDescent="1">
      <c r="M2129" s="164"/>
      <c r="N2129" s="164"/>
      <c r="O2129" s="164"/>
      <c r="P2129" s="164"/>
      <c r="Q2129" s="164"/>
      <c r="R2129" s="164"/>
    </row>
    <row r="2130" spans="13:18" ht="15" customHeight="1" x14ac:dyDescent="1">
      <c r="M2130" s="164"/>
      <c r="N2130" s="164"/>
      <c r="O2130" s="164"/>
      <c r="P2130" s="164"/>
      <c r="Q2130" s="164"/>
      <c r="R2130" s="164"/>
    </row>
    <row r="2131" spans="13:18" ht="15" customHeight="1" x14ac:dyDescent="1">
      <c r="M2131" s="164"/>
      <c r="N2131" s="164"/>
      <c r="O2131" s="164"/>
      <c r="P2131" s="164"/>
      <c r="Q2131" s="164"/>
      <c r="R2131" s="164"/>
    </row>
    <row r="2132" spans="13:18" ht="15" customHeight="1" x14ac:dyDescent="1">
      <c r="M2132" s="164"/>
      <c r="N2132" s="164"/>
      <c r="O2132" s="164"/>
      <c r="P2132" s="164"/>
      <c r="Q2132" s="164"/>
      <c r="R2132" s="164"/>
    </row>
    <row r="2133" spans="13:18" ht="15" customHeight="1" x14ac:dyDescent="1">
      <c r="M2133" s="164"/>
      <c r="N2133" s="164"/>
      <c r="O2133" s="164"/>
      <c r="P2133" s="164"/>
      <c r="Q2133" s="164"/>
      <c r="R2133" s="164"/>
    </row>
    <row r="2134" spans="13:18" ht="15" customHeight="1" x14ac:dyDescent="1">
      <c r="M2134" s="164"/>
      <c r="N2134" s="164"/>
      <c r="O2134" s="164"/>
      <c r="P2134" s="164"/>
      <c r="Q2134" s="164"/>
      <c r="R2134" s="164"/>
    </row>
    <row r="2135" spans="13:18" ht="15" customHeight="1" x14ac:dyDescent="1">
      <c r="M2135" s="164"/>
      <c r="N2135" s="164"/>
      <c r="O2135" s="164"/>
      <c r="P2135" s="164"/>
      <c r="Q2135" s="164"/>
      <c r="R2135" s="164"/>
    </row>
    <row r="2136" spans="13:18" ht="15" customHeight="1" x14ac:dyDescent="1">
      <c r="M2136" s="164"/>
      <c r="N2136" s="164"/>
      <c r="O2136" s="164"/>
      <c r="P2136" s="164"/>
      <c r="Q2136" s="164"/>
      <c r="R2136" s="164"/>
    </row>
    <row r="2137" spans="13:18" ht="15" customHeight="1" x14ac:dyDescent="1">
      <c r="M2137" s="164"/>
      <c r="N2137" s="164"/>
      <c r="O2137" s="164"/>
      <c r="P2137" s="164"/>
      <c r="Q2137" s="164"/>
      <c r="R2137" s="164"/>
    </row>
    <row r="2138" spans="13:18" ht="15" customHeight="1" x14ac:dyDescent="1">
      <c r="M2138" s="164"/>
      <c r="N2138" s="164"/>
      <c r="O2138" s="164"/>
      <c r="P2138" s="164"/>
      <c r="Q2138" s="164"/>
      <c r="R2138" s="164"/>
    </row>
    <row r="2139" spans="13:18" ht="15" customHeight="1" x14ac:dyDescent="1">
      <c r="M2139" s="164"/>
      <c r="N2139" s="164"/>
      <c r="O2139" s="164"/>
      <c r="P2139" s="164"/>
      <c r="Q2139" s="164"/>
      <c r="R2139" s="164"/>
    </row>
    <row r="2140" spans="13:18" ht="15" customHeight="1" x14ac:dyDescent="1">
      <c r="M2140" s="164"/>
      <c r="N2140" s="164"/>
      <c r="O2140" s="164"/>
      <c r="P2140" s="164"/>
      <c r="Q2140" s="164"/>
      <c r="R2140" s="164"/>
    </row>
    <row r="2141" spans="13:18" ht="15" customHeight="1" x14ac:dyDescent="1">
      <c r="M2141" s="164"/>
      <c r="N2141" s="164"/>
      <c r="O2141" s="164"/>
      <c r="P2141" s="164"/>
      <c r="Q2141" s="164"/>
      <c r="R2141" s="164"/>
    </row>
    <row r="2142" spans="13:18" ht="15" customHeight="1" x14ac:dyDescent="1">
      <c r="M2142" s="164"/>
      <c r="N2142" s="164"/>
      <c r="O2142" s="164"/>
      <c r="P2142" s="164"/>
      <c r="Q2142" s="164"/>
      <c r="R2142" s="164"/>
    </row>
    <row r="2143" spans="13:18" ht="15" customHeight="1" x14ac:dyDescent="1">
      <c r="M2143" s="164"/>
      <c r="N2143" s="164"/>
      <c r="O2143" s="164"/>
      <c r="P2143" s="164"/>
      <c r="Q2143" s="164"/>
      <c r="R2143" s="164"/>
    </row>
    <row r="2144" spans="13:18" ht="15" customHeight="1" x14ac:dyDescent="1">
      <c r="M2144" s="164"/>
      <c r="N2144" s="164"/>
      <c r="O2144" s="164"/>
      <c r="P2144" s="164"/>
      <c r="Q2144" s="164"/>
      <c r="R2144" s="164"/>
    </row>
    <row r="2145" spans="13:18" ht="15" customHeight="1" x14ac:dyDescent="1">
      <c r="M2145" s="164"/>
      <c r="N2145" s="164"/>
      <c r="O2145" s="164"/>
      <c r="P2145" s="164"/>
      <c r="Q2145" s="164"/>
      <c r="R2145" s="164"/>
    </row>
    <row r="2146" spans="13:18" ht="15" customHeight="1" x14ac:dyDescent="1">
      <c r="M2146" s="164"/>
      <c r="N2146" s="164"/>
      <c r="O2146" s="164"/>
      <c r="P2146" s="164"/>
      <c r="Q2146" s="164"/>
      <c r="R2146" s="164"/>
    </row>
    <row r="2147" spans="13:18" ht="15" customHeight="1" x14ac:dyDescent="1">
      <c r="M2147" s="164"/>
      <c r="N2147" s="164"/>
      <c r="O2147" s="164"/>
      <c r="P2147" s="164"/>
      <c r="Q2147" s="164"/>
      <c r="R2147" s="164"/>
    </row>
    <row r="2148" spans="13:18" ht="15" customHeight="1" x14ac:dyDescent="1">
      <c r="M2148" s="164"/>
      <c r="N2148" s="164"/>
      <c r="O2148" s="164"/>
      <c r="P2148" s="164"/>
      <c r="Q2148" s="164"/>
      <c r="R2148" s="164"/>
    </row>
    <row r="2149" spans="13:18" ht="15" customHeight="1" x14ac:dyDescent="1">
      <c r="M2149" s="164"/>
      <c r="N2149" s="164"/>
      <c r="O2149" s="164"/>
      <c r="P2149" s="164"/>
      <c r="Q2149" s="164"/>
      <c r="R2149" s="164"/>
    </row>
    <row r="2150" spans="13:18" ht="15" customHeight="1" x14ac:dyDescent="1">
      <c r="M2150" s="164"/>
      <c r="N2150" s="164"/>
      <c r="O2150" s="164"/>
      <c r="P2150" s="164"/>
      <c r="Q2150" s="164"/>
      <c r="R2150" s="164"/>
    </row>
    <row r="2151" spans="13:18" ht="15" customHeight="1" x14ac:dyDescent="1">
      <c r="M2151" s="164"/>
      <c r="N2151" s="164"/>
      <c r="O2151" s="164"/>
      <c r="P2151" s="164"/>
      <c r="Q2151" s="164"/>
      <c r="R2151" s="164"/>
    </row>
    <row r="2152" spans="13:18" ht="15" customHeight="1" x14ac:dyDescent="1">
      <c r="M2152" s="164"/>
      <c r="N2152" s="164"/>
      <c r="O2152" s="164"/>
      <c r="P2152" s="164"/>
      <c r="Q2152" s="164"/>
      <c r="R2152" s="164"/>
    </row>
    <row r="2153" spans="13:18" ht="15" customHeight="1" x14ac:dyDescent="1">
      <c r="M2153" s="164"/>
      <c r="N2153" s="164"/>
      <c r="O2153" s="164"/>
      <c r="P2153" s="164"/>
      <c r="Q2153" s="164"/>
      <c r="R2153" s="164"/>
    </row>
    <row r="2154" spans="13:18" ht="15" customHeight="1" x14ac:dyDescent="1">
      <c r="M2154" s="164"/>
      <c r="N2154" s="164"/>
      <c r="O2154" s="164"/>
      <c r="P2154" s="164"/>
      <c r="Q2154" s="164"/>
      <c r="R2154" s="164"/>
    </row>
    <row r="2155" spans="13:18" ht="15" customHeight="1" x14ac:dyDescent="1">
      <c r="M2155" s="164"/>
      <c r="N2155" s="164"/>
      <c r="O2155" s="164"/>
      <c r="P2155" s="164"/>
      <c r="Q2155" s="164"/>
      <c r="R2155" s="164"/>
    </row>
    <row r="2157" spans="13:18" ht="15" customHeight="1" x14ac:dyDescent="1">
      <c r="M2157" s="162"/>
      <c r="N2157" s="162"/>
    </row>
    <row r="2158" spans="13:18" ht="15" customHeight="1" x14ac:dyDescent="1">
      <c r="M2158" s="163"/>
      <c r="N2158" s="163"/>
      <c r="O2158" s="163"/>
      <c r="P2158" s="163"/>
      <c r="Q2158" s="163"/>
      <c r="R2158" s="163"/>
    </row>
    <row r="2159" spans="13:18" ht="15" customHeight="1" x14ac:dyDescent="1">
      <c r="M2159" s="164"/>
      <c r="N2159" s="164"/>
      <c r="O2159" s="164"/>
      <c r="P2159" s="164"/>
      <c r="Q2159" s="164"/>
      <c r="R2159" s="164"/>
    </row>
    <row r="2160" spans="13:18" ht="15" customHeight="1" x14ac:dyDescent="1">
      <c r="M2160" s="164"/>
      <c r="N2160" s="164"/>
      <c r="O2160" s="164"/>
      <c r="P2160" s="164"/>
      <c r="Q2160" s="164"/>
      <c r="R2160" s="164"/>
    </row>
    <row r="2161" spans="13:18" ht="15" customHeight="1" x14ac:dyDescent="1">
      <c r="M2161" s="164"/>
      <c r="N2161" s="164"/>
      <c r="O2161" s="164"/>
      <c r="P2161" s="164"/>
      <c r="Q2161" s="164"/>
      <c r="R2161" s="164"/>
    </row>
    <row r="2162" spans="13:18" ht="15" customHeight="1" x14ac:dyDescent="1">
      <c r="M2162" s="164"/>
      <c r="N2162" s="164"/>
      <c r="O2162" s="164"/>
      <c r="P2162" s="164"/>
      <c r="Q2162" s="164"/>
      <c r="R2162" s="164"/>
    </row>
    <row r="2163" spans="13:18" ht="15" customHeight="1" x14ac:dyDescent="1">
      <c r="M2163" s="164"/>
      <c r="N2163" s="164"/>
      <c r="O2163" s="164"/>
      <c r="P2163" s="164"/>
      <c r="Q2163" s="164"/>
      <c r="R2163" s="164"/>
    </row>
    <row r="2164" spans="13:18" ht="15" customHeight="1" x14ac:dyDescent="1">
      <c r="M2164" s="164"/>
      <c r="N2164" s="164"/>
      <c r="O2164" s="164"/>
      <c r="P2164" s="164"/>
      <c r="Q2164" s="164"/>
      <c r="R2164" s="164"/>
    </row>
    <row r="2165" spans="13:18" ht="15" customHeight="1" x14ac:dyDescent="1">
      <c r="M2165" s="164"/>
      <c r="N2165" s="164"/>
      <c r="O2165" s="164"/>
      <c r="P2165" s="164"/>
      <c r="Q2165" s="164"/>
      <c r="R2165" s="164"/>
    </row>
    <row r="2166" spans="13:18" ht="15" customHeight="1" x14ac:dyDescent="1">
      <c r="M2166" s="164"/>
      <c r="N2166" s="164"/>
      <c r="O2166" s="164"/>
      <c r="P2166" s="164"/>
      <c r="Q2166" s="164"/>
      <c r="R2166" s="164"/>
    </row>
    <row r="2167" spans="13:18" ht="15" customHeight="1" x14ac:dyDescent="1">
      <c r="M2167" s="164"/>
      <c r="N2167" s="164"/>
      <c r="O2167" s="164"/>
      <c r="P2167" s="164"/>
      <c r="Q2167" s="164"/>
      <c r="R2167" s="164"/>
    </row>
    <row r="2168" spans="13:18" ht="15" customHeight="1" x14ac:dyDescent="1">
      <c r="M2168" s="164"/>
      <c r="N2168" s="164"/>
      <c r="O2168" s="164"/>
      <c r="P2168" s="164"/>
      <c r="Q2168" s="164"/>
      <c r="R2168" s="164"/>
    </row>
    <row r="2169" spans="13:18" ht="15" customHeight="1" x14ac:dyDescent="1">
      <c r="M2169" s="164"/>
      <c r="N2169" s="164"/>
      <c r="O2169" s="164"/>
      <c r="P2169" s="164"/>
      <c r="Q2169" s="164"/>
      <c r="R2169" s="164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CE621EF0B187E47864C501EE7A63154" ma:contentTypeVersion="17" ma:contentTypeDescription="Crie um novo documento." ma:contentTypeScope="" ma:versionID="55bdca503e3cccf631f90c96e623accf">
  <xsd:schema xmlns:xsd="http://www.w3.org/2001/XMLSchema" xmlns:xs="http://www.w3.org/2001/XMLSchema" xmlns:p="http://schemas.microsoft.com/office/2006/metadata/properties" xmlns:ns2="7b55ac76-67b3-4644-92cd-3b1abac55b9c" xmlns:ns3="53e4f463-f8f6-4d5a-ae31-fc9ac83d3480" targetNamespace="http://schemas.microsoft.com/office/2006/metadata/properties" ma:root="true" ma:fieldsID="71a36fea5b4b2be606f20c52b5dd5722" ns2:_="" ns3:_="">
    <xsd:import namespace="7b55ac76-67b3-4644-92cd-3b1abac55b9c"/>
    <xsd:import namespace="53e4f463-f8f6-4d5a-ae31-fc9ac83d34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55ac76-67b3-4644-92cd-3b1abac55b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Marcações de imagem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e4f463-f8f6-4d5a-ae31-fc9ac83d34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ea704407-68d3-4624-9d21-fec263ffcb7f}" ma:internalName="TaxCatchAll" ma:showField="CatchAllData" ma:web="53e4f463-f8f6-4d5a-ae31-fc9ac83d34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3e4f463-f8f6-4d5a-ae31-fc9ac83d3480" xsi:nil="true"/>
    <lcf76f155ced4ddcb4097134ff3c332f xmlns="7b55ac76-67b3-4644-92cd-3b1abac55b9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C7C5A5-933F-4A99-A745-86C0305B4C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DF4127-6583-4B96-A0E2-05C0186D44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55ac76-67b3-4644-92cd-3b1abac55b9c"/>
    <ds:schemaRef ds:uri="53e4f463-f8f6-4d5a-ae31-fc9ac83d34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B500E6-BB53-4913-BE11-94C360642ED8}">
  <ds:schemaRefs>
    <ds:schemaRef ds:uri="53e4f463-f8f6-4d5a-ae31-fc9ac83d348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7b55ac76-67b3-4644-92cd-3b1abac55b9c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4cde0bb8-21e0-4ae3-9906-7ac25165b779}" enabled="1" method="Privilege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IMPORT</vt:lpstr>
      <vt:lpstr>Listas</vt:lpstr>
      <vt:lpstr>Model Summary</vt:lpstr>
      <vt:lpstr>Hardpoint</vt:lpstr>
      <vt:lpstr>Mass Properties</vt:lpstr>
      <vt:lpstr>Property Files</vt:lpstr>
      <vt:lpstr>Splines Comparison</vt:lpstr>
      <vt:lpstr>CDB</vt:lpstr>
    </vt:vector>
  </TitlesOfParts>
  <Manager/>
  <Company>Stellantis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 EDUARDA BORGES GALVAO</dc:creator>
  <cp:keywords/>
  <dc:description/>
  <cp:lastModifiedBy>BERNARDO FRANCO RUFINI</cp:lastModifiedBy>
  <cp:revision/>
  <dcterms:created xsi:type="dcterms:W3CDTF">2024-08-14T13:49:42Z</dcterms:created>
  <dcterms:modified xsi:type="dcterms:W3CDTF">2026-02-27T12:50:32Z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0x010100CCE621EF0B187E47864C501EE7A63154</vt:lpwstr>
  </property>
  <property fmtid="{D5CDD505-2E9C-101B-9397-08002B2CF9AE}" pid="3" name="MediaServiceImageTags">
    <vt:lpwstr/>
  </property>
  <property fmtid="{D5CDD505-2E9C-101B-9397-08002B2CF9AE}" pid="4" name="MSIP_Label_4cde0bb8-21e0-4ae3-9906-7ac25165b779_Enabled">
    <vt:lpwstr>true</vt:lpwstr>
  </property>
  <property fmtid="{D5CDD505-2E9C-101B-9397-08002B2CF9AE}" pid="5" name="MSIP_Label_4cde0bb8-21e0-4ae3-9906-7ac25165b779_SetDate">
    <vt:lpwstr>2025-03-26T19:41:26Z</vt:lpwstr>
  </property>
  <property fmtid="{D5CDD505-2E9C-101B-9397-08002B2CF9AE}" pid="6" name="MSIP_Label_4cde0bb8-21e0-4ae3-9906-7ac25165b779_Method">
    <vt:lpwstr>Privileged</vt:lpwstr>
  </property>
  <property fmtid="{D5CDD505-2E9C-101B-9397-08002B2CF9AE}" pid="7" name="MSIP_Label_4cde0bb8-21e0-4ae3-9906-7ac25165b779_Name">
    <vt:lpwstr>C1 - Public</vt:lpwstr>
  </property>
  <property fmtid="{D5CDD505-2E9C-101B-9397-08002B2CF9AE}" pid="8" name="MSIP_Label_4cde0bb8-21e0-4ae3-9906-7ac25165b779_SiteId">
    <vt:lpwstr>d852d5cd-724c-4128-8812-ffa5db3f8507</vt:lpwstr>
  </property>
  <property fmtid="{D5CDD505-2E9C-101B-9397-08002B2CF9AE}" pid="9" name="MSIP_Label_4cde0bb8-21e0-4ae3-9906-7ac25165b779_ActionId">
    <vt:lpwstr>9429705f-9fd5-4c5d-97cb-901614ec0c81</vt:lpwstr>
  </property>
  <property fmtid="{D5CDD505-2E9C-101B-9397-08002B2CF9AE}" pid="10" name="MSIP_Label_4cde0bb8-21e0-4ae3-9906-7ac25165b779_ContentBits">
    <vt:lpwstr>0</vt:lpwstr>
  </property>
</Properties>
</file>